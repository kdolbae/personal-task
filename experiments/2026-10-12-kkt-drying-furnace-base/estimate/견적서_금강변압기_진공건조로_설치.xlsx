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  <sheet name="자재산출" sheetId="2" state="visible" r:id="rId4"/>
    <sheet name="내역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7" authorId="0">
      <text>
        <r>
          <rPr>
            <sz val="10"/>
            <rFont val="WenQuanYi Zen Hei"/>
            <family val="2"/>
          </rPr>
          <t xml:space="preserve">일반관리비 </t>
        </r>
        <r>
          <rPr>
            <sz val="10"/>
            <rFont val="Arial"/>
            <family val="2"/>
          </rPr>
          <t xml:space="preserve">6%, </t>
        </r>
        <r>
          <rPr>
            <sz val="10"/>
            <rFont val="WenQuanYi Zen Hei"/>
            <family val="2"/>
          </rPr>
          <t xml:space="preserve">이윤 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WenQuanYi Zen Hei"/>
            <family val="2"/>
          </rPr>
          <t xml:space="preserve">는 예시 요율이에요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회사 기준으로 바꾸세요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<sst xmlns="http://schemas.openxmlformats.org/spreadsheetml/2006/main" count="211" uniqueCount="178">
  <si>
    <t xml:space="preserve">견   적   서</t>
  </si>
  <si>
    <t xml:space="preserve">수신</t>
  </si>
  <si>
    <t xml:space="preserve">금강변압기 귀중</t>
  </si>
  <si>
    <t xml:space="preserve">공사명</t>
  </si>
  <si>
    <r>
      <rPr>
        <sz val="10"/>
        <color rgb="FF000000"/>
        <rFont val="WenQuanYi Zen Hei"/>
        <family val="2"/>
      </rPr>
      <t xml:space="preserve">진공건조로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기 회전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안착 및 하부 접합 공사</t>
    </r>
  </si>
  <si>
    <t xml:space="preserve">공사 장소</t>
  </si>
  <si>
    <t xml:space="preserve">금강변압기 공장 야적장</t>
  </si>
  <si>
    <t xml:space="preserve">견적일</t>
  </si>
  <si>
    <t xml:space="preserve">2026-10-12</t>
  </si>
  <si>
    <t xml:space="preserve">유효기간</t>
  </si>
  <si>
    <r>
      <rPr>
        <sz val="10"/>
        <color rgb="FF000000"/>
        <rFont val="WenQuanYi Zen Hei"/>
        <family val="2"/>
      </rPr>
      <t xml:space="preserve">견적일로부터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일</t>
    </r>
  </si>
  <si>
    <t xml:space="preserve">공급자</t>
  </si>
  <si>
    <t xml:space="preserve">번호</t>
  </si>
  <si>
    <t xml:space="preserve">공종</t>
  </si>
  <si>
    <t xml:space="preserve">재료비</t>
  </si>
  <si>
    <t xml:space="preserve">노무비</t>
  </si>
  <si>
    <t xml:space="preserve">경비</t>
  </si>
  <si>
    <t xml:space="preserve">금액</t>
  </si>
  <si>
    <t xml:space="preserve">1</t>
  </si>
  <si>
    <r>
      <rPr>
        <sz val="10"/>
        <color rgb="FF000000"/>
        <rFont val="WenQuanYi Zen Hei"/>
        <family val="2"/>
      </rPr>
      <t xml:space="preserve">가설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준비</t>
    </r>
  </si>
  <si>
    <t xml:space="preserve">2</t>
  </si>
  <si>
    <r>
      <rPr>
        <sz val="10"/>
        <color rgb="FF000000"/>
        <rFont val="WenQuanYi Zen Hei"/>
        <family val="2"/>
      </rPr>
      <t xml:space="preserve">베이스 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설치</t>
    </r>
  </si>
  <si>
    <t xml:space="preserve">3</t>
  </si>
  <si>
    <r>
      <rPr>
        <sz val="10"/>
        <color rgb="FF000000"/>
        <rFont val="Arial"/>
        <family val="0"/>
        <charset val="1"/>
      </rPr>
      <t xml:space="preserve">1·2</t>
    </r>
    <r>
      <rPr>
        <sz val="10"/>
        <color rgb="FF000000"/>
        <rFont val="WenQuanYi Zen Hei"/>
        <family val="2"/>
      </rPr>
      <t xml:space="preserve">호기 회전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안착</t>
    </r>
  </si>
  <si>
    <t xml:space="preserve">4</t>
  </si>
  <si>
    <r>
      <rPr>
        <sz val="10"/>
        <color rgb="FF000000"/>
        <rFont val="WenQuanYi Zen Hei"/>
        <family val="2"/>
      </rPr>
      <t xml:space="preserve">밀착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하부 접합</t>
    </r>
  </si>
  <si>
    <t xml:space="preserve">5</t>
  </si>
  <si>
    <r>
      <rPr>
        <sz val="10"/>
        <color rgb="FF000000"/>
        <rFont val="WenQuanYi Zen Hei"/>
        <family val="2"/>
      </rPr>
      <t xml:space="preserve">안전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부대</t>
    </r>
  </si>
  <si>
    <t xml:space="preserve">직접공사비 계</t>
  </si>
  <si>
    <r>
      <rPr>
        <sz val="10"/>
        <color rgb="FF000000"/>
        <rFont val="WenQuanYi Zen Hei"/>
        <family val="2"/>
      </rPr>
      <t xml:space="preserve">일반관리비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직접공사비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요율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</si>
  <si>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이윤 </t>
    </r>
    <r>
      <rPr>
        <sz val="10"/>
        <color rgb="FF000000"/>
        <rFont val="Arial"/>
        <family val="0"/>
        <charset val="1"/>
      </rPr>
      <t xml:space="preserve">((</t>
    </r>
    <r>
      <rPr>
        <sz val="10"/>
        <color rgb="FF000000"/>
        <rFont val="WenQuanYi Zen Hei"/>
        <family val="2"/>
      </rPr>
      <t xml:space="preserve">직접공사비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일반관리비</t>
    </r>
    <r>
      <rPr>
        <sz val="10"/>
        <color rgb="FF000000"/>
        <rFont val="Arial"/>
        <family val="0"/>
        <charset val="1"/>
      </rPr>
      <t xml:space="preserve">) × </t>
    </r>
    <r>
      <rPr>
        <sz val="10"/>
        <color rgb="FF000000"/>
        <rFont val="WenQuanYi Zen Hei"/>
        <family val="2"/>
      </rPr>
      <t xml:space="preserve">요율</t>
    </r>
    <r>
      <rPr>
        <sz val="10"/>
        <color rgb="FF000000"/>
        <rFont val="Arial"/>
        <family val="0"/>
        <charset val="1"/>
      </rPr>
      <t xml:space="preserve">)</t>
    </r>
  </si>
  <si>
    <t xml:space="preserve">공급가액</t>
  </si>
  <si>
    <r>
      <rPr>
        <sz val="10"/>
        <color rgb="FF000000"/>
        <rFont val="WenQuanYi Zen Hei"/>
        <family val="2"/>
      </rPr>
      <t xml:space="preserve">부가가치세 </t>
    </r>
    <r>
      <rPr>
        <sz val="10"/>
        <color rgb="FF000000"/>
        <rFont val="Arial"/>
        <family val="0"/>
        <charset val="1"/>
      </rPr>
      <t xml:space="preserve">(10%)</t>
    </r>
  </si>
  <si>
    <r>
      <rPr>
        <b val="true"/>
        <sz val="10"/>
        <color rgb="FF000000"/>
        <rFont val="WenQuanYi Zen Hei"/>
        <family val="2"/>
      </rPr>
      <t xml:space="preserve">총 견적금액 </t>
    </r>
    <r>
      <rPr>
        <b val="true"/>
        <sz val="10"/>
        <color rgb="FF000000"/>
        <rFont val="Arial"/>
        <family val="0"/>
        <charset val="1"/>
      </rPr>
      <t xml:space="preserve">(VAT </t>
    </r>
    <r>
      <rPr>
        <b val="true"/>
        <sz val="10"/>
        <color rgb="FF000000"/>
        <rFont val="WenQuanYi Zen Hei"/>
        <family val="2"/>
      </rPr>
      <t xml:space="preserve">포함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</si>
  <si>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특기사항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</si>
  <si>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크레인 사양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대수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일수는 인양계획서와 구조검토 확정 후 조정합니다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현장 </t>
    </r>
    <r>
      <rPr>
        <sz val="10"/>
        <color rgb="FF000000"/>
        <rFont val="Arial"/>
        <family val="0"/>
        <charset val="1"/>
      </rPr>
      <t xml:space="preserve">30t </t>
    </r>
    <r>
      <rPr>
        <sz val="10"/>
        <color rgb="FF000000"/>
        <rFont val="WenQuanYi Zen Hei"/>
        <family val="2"/>
      </rPr>
      <t xml:space="preserve">갠트리로는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호기</t>
    </r>
    <r>
      <rPr>
        <sz val="10"/>
        <color rgb="FF000000"/>
        <rFont val="Arial"/>
        <family val="0"/>
        <charset val="1"/>
      </rPr>
      <t xml:space="preserve">(45t) </t>
    </r>
    <r>
      <rPr>
        <sz val="10"/>
        <color rgb="FF000000"/>
        <rFont val="WenQuanYi Zen Hei"/>
        <family val="2"/>
      </rPr>
      <t xml:space="preserve">단독 인양이 불가합니다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</si>
  <si>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베이스 강재는 개략 산출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손실 </t>
    </r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WenQuanYi Zen Hei"/>
        <family val="2"/>
      </rPr>
      <t xml:space="preserve">포함 약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WenQuanYi Zen Hei"/>
        <family val="2"/>
      </rPr>
      <t xml:space="preserve">톤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이며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구조검토 결과에 따라 레일 줄 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보강이 늘 수 있습니다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</si>
  <si>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하부 접합 용접 길이와 비파괴 검사 범위는 발주처 확인 후 정산합니다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</si>
  <si>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지반 지지력 부족 시 보강 비용은 별도입니다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</si>
  <si>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진공건조로 본체의 내부 작업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전기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배관 해체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복구는 제외합니다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</si>
  <si>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9"/>
        <color rgb="FF555555"/>
        <rFont val="WenQuanYi Zen Hei"/>
        <family val="2"/>
      </rPr>
      <t xml:space="preserve">입력 안내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노란 칸 </t>
    </r>
    <r>
      <rPr>
        <sz val="9"/>
        <color rgb="FF555555"/>
        <rFont val="Arial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직접 입력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단가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요율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공급자</t>
    </r>
    <r>
      <rPr>
        <sz val="9"/>
        <color rgb="FF555555"/>
        <rFont val="Arial"/>
        <family val="0"/>
        <charset val="1"/>
      </rPr>
      <t xml:space="preserve">). </t>
    </r>
    <r>
      <rPr>
        <sz val="9"/>
        <color rgb="FF555555"/>
        <rFont val="WenQuanYi Zen Hei"/>
        <family val="2"/>
      </rPr>
      <t xml:space="preserve">파란 글씨 </t>
    </r>
    <r>
      <rPr>
        <sz val="9"/>
        <color rgb="FF555555"/>
        <rFont val="Arial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가정값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초록 글씨 </t>
    </r>
    <r>
      <rPr>
        <sz val="9"/>
        <color rgb="FF555555"/>
        <rFont val="Arial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다른 시트에서 연동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</si>
  <si>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3"/>
        <color rgb="FF000000"/>
        <rFont val="WenQuanYi Zen Hei"/>
        <family val="2"/>
      </rPr>
      <t xml:space="preserve">베이스 자재 산출 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사다리형 일체 베이스 </t>
    </r>
    <r>
      <rPr>
        <b val="true"/>
        <sz val="13"/>
        <color rgb="FF000000"/>
        <rFont val="Arial"/>
        <family val="0"/>
        <charset val="1"/>
      </rPr>
      <t xml:space="preserve">v3, 10,000×5,000×H800)</t>
    </r>
  </si>
  <si>
    <r>
      <rPr>
        <sz val="9"/>
        <color rgb="FF555555"/>
        <rFont val="WenQuanYi Zen Hei"/>
        <family val="2"/>
      </rPr>
      <t xml:space="preserve">파란 글씨 </t>
    </r>
    <r>
      <rPr>
        <sz val="9"/>
        <color rgb="FF555555"/>
        <rFont val="Arial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입력값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설계 가정</t>
    </r>
    <r>
      <rPr>
        <sz val="9"/>
        <color rgb="FF555555"/>
        <rFont val="Arial"/>
        <family val="0"/>
        <charset val="1"/>
      </rPr>
      <t xml:space="preserve">). </t>
    </r>
    <r>
      <rPr>
        <sz val="9"/>
        <color rgb="FF555555"/>
        <rFont val="WenQuanYi Zen Hei"/>
        <family val="2"/>
      </rPr>
      <t xml:space="preserve">단위중량은 </t>
    </r>
    <r>
      <rPr>
        <sz val="9"/>
        <color rgb="FF555555"/>
        <rFont val="Arial"/>
        <family val="0"/>
        <charset val="1"/>
      </rPr>
      <t xml:space="preserve">KS D 3502 H</t>
    </r>
    <r>
      <rPr>
        <sz val="9"/>
        <color rgb="FF555555"/>
        <rFont val="WenQuanYi Zen Hei"/>
        <family val="2"/>
      </rPr>
      <t xml:space="preserve">형강 공칭값 기준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발주 전 규격표와 대조 필요</t>
    </r>
    <r>
      <rPr>
        <sz val="9"/>
        <color rgb="FF555555"/>
        <rFont val="Arial"/>
        <family val="0"/>
        <charset val="1"/>
      </rPr>
      <t xml:space="preserve">.</t>
    </r>
  </si>
  <si>
    <t xml:space="preserve">품명</t>
  </si>
  <si>
    <t xml:space="preserve">규격</t>
  </si>
  <si>
    <r>
      <rPr>
        <b val="true"/>
        <sz val="10"/>
        <color rgb="FFFFFFFF"/>
        <rFont val="WenQuanYi Zen Hei"/>
        <family val="2"/>
      </rPr>
      <t xml:space="preserve">수량</t>
    </r>
    <r>
      <rPr>
        <b val="true"/>
        <sz val="10"/>
        <color rgb="FFFFFFFF"/>
        <rFont val="Arial"/>
        <family val="0"/>
        <charset val="1"/>
      </rPr>
      <t xml:space="preserve">(EA)</t>
    </r>
  </si>
  <si>
    <r>
      <rPr>
        <b val="true"/>
        <sz val="10"/>
        <color rgb="FFFFFFFF"/>
        <rFont val="WenQuanYi Zen Hei"/>
        <family val="2"/>
      </rPr>
      <t xml:space="preserve">개당 길이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</si>
  <si>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WenQuanYi Zen Hei"/>
        <family val="2"/>
      </rPr>
      <t xml:space="preserve">총 길이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</si>
  <si>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WenQuanYi Zen Hei"/>
        <family val="2"/>
      </rPr>
      <t xml:space="preserve">단위중량</t>
    </r>
    <r>
      <rPr>
        <b val="true"/>
        <sz val="10"/>
        <color rgb="FFFFFFFF"/>
        <rFont val="Arial"/>
        <family val="0"/>
        <charset val="1"/>
      </rPr>
      <t xml:space="preserve">(kg/m)</t>
    </r>
  </si>
  <si>
    <r>
      <rPr>
        <b val="true"/>
        <sz val="10"/>
        <color rgb="FFFFFFFF"/>
        <rFont val="WenQuanYi Zen Hei"/>
        <family val="2"/>
      </rPr>
      <t xml:space="preserve">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</si>
  <si>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도장면적 계수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/m)</t>
    </r>
  </si>
  <si>
    <r>
      <rPr>
        <b val="true"/>
        <sz val="10"/>
        <color rgb="FFFFFFFF"/>
        <rFont val="WenQuanYi Zen Hei"/>
        <family val="2"/>
      </rPr>
      <t xml:space="preserve">도장면적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</si>
  <si>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</si>
  <si>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t xml:space="preserve">상부 사다리 레일</t>
  </si>
  <si>
    <t xml:space="preserve">H-250×125×6×9</t>
  </si>
  <si>
    <r>
      <rPr>
        <sz val="11"/>
        <color theme="1"/>
        <rFont val="Calibri"/>
        <family val="2"/>
        <charset val="1"/>
      </rPr>
      <t xml:space="preserve">10m </t>
    </r>
    <r>
      <rPr>
        <sz val="11"/>
        <color theme="1"/>
        <rFont val="WenQuanYi Zen Hei"/>
        <family val="2"/>
      </rPr>
      <t xml:space="preserve">연속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밀착 시 슬라이딩 레일</t>
    </r>
  </si>
  <si>
    <t xml:space="preserve">상부 사다리 가로대</t>
  </si>
  <si>
    <t xml:space="preserve">H-150×75×5×7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</si>
  <si>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개소</t>
    </r>
    <r>
      <rPr>
        <sz val="11"/>
        <color theme="1"/>
        <rFont val="Calibri"/>
        <family val="2"/>
        <charset val="1"/>
      </rPr>
      <t xml:space="preserve">×3</t>
    </r>
    <r>
      <rPr>
        <sz val="11"/>
        <color theme="1"/>
        <rFont val="WenQuanYi Zen Hei"/>
        <family val="2"/>
      </rPr>
      <t xml:space="preserve">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레일 상면과 높이 일치</t>
    </r>
  </si>
  <si>
    <t xml:space="preserve">하부 사다리 레일</t>
  </si>
  <si>
    <t xml:space="preserve">H-200×100×5.5×8</t>
  </si>
  <si>
    <r>
      <rPr>
        <sz val="11"/>
        <color theme="1"/>
        <rFont val="WenQuanYi Zen Hei"/>
        <family val="2"/>
      </rPr>
      <t xml:space="preserve">통로부</t>
    </r>
    <r>
      <rPr>
        <sz val="11"/>
        <color theme="1"/>
        <rFont val="Calibri"/>
        <family val="2"/>
        <charset val="1"/>
      </rPr>
      <t xml:space="preserve">(W600)</t>
    </r>
    <r>
      <rPr>
        <sz val="11"/>
        <color theme="1"/>
        <rFont val="WenQuanYi Zen Hei"/>
        <family val="2"/>
      </rPr>
      <t xml:space="preserve">에서 분할</t>
    </r>
  </si>
  <si>
    <t xml:space="preserve">하부 사다리 가로대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</si>
  <si>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개소</t>
    </r>
    <r>
      <rPr>
        <sz val="11"/>
        <color theme="1"/>
        <rFont val="Calibri"/>
        <family val="2"/>
        <charset val="1"/>
      </rPr>
      <t xml:space="preserve">×3</t>
    </r>
    <r>
      <rPr>
        <sz val="11"/>
        <color theme="1"/>
        <rFont val="WenQuanYi Zen Hei"/>
        <family val="2"/>
      </rPr>
      <t xml:space="preserve">칸</t>
    </r>
  </si>
  <si>
    <t xml:space="preserve">기둥</t>
  </si>
  <si>
    <t xml:space="preserve">H-125×125×6.5×9</t>
  </si>
  <si>
    <t xml:space="preserve">레일 교차점</t>
  </si>
  <si>
    <t xml:space="preserve">보강 스티프너</t>
  </si>
  <si>
    <r>
      <rPr>
        <sz val="11"/>
        <color theme="1"/>
        <rFont val="Calibri"/>
        <family val="2"/>
        <charset val="1"/>
      </rPr>
      <t xml:space="preserve">PL-9 (120×230 2</t>
    </r>
    <r>
      <rPr>
        <sz val="11"/>
        <color theme="1"/>
        <rFont val="WenQuanYi Zen Hei"/>
        <family val="2"/>
      </rPr>
      <t xml:space="preserve">매 </t>
    </r>
    <r>
      <rPr>
        <sz val="11"/>
        <color theme="1"/>
        <rFont val="Calibri"/>
        <family val="2"/>
        <charset val="1"/>
      </rPr>
      <t xml:space="preserve">+ 90×184 2</t>
    </r>
    <r>
      <rPr>
        <sz val="11"/>
        <color theme="1"/>
        <rFont val="WenQuanYi Zen Hei"/>
        <family val="2"/>
      </rPr>
      <t xml:space="preserve">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기둥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개소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</si>
  <si>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기둥 위치 레일 웹 내부 </t>
    </r>
    <r>
      <rPr>
        <sz val="11"/>
        <color theme="1"/>
        <rFont val="Calibri"/>
        <family val="2"/>
        <charset val="1"/>
      </rPr>
      <t xml:space="preserve">(G</t>
    </r>
    <r>
      <rPr>
        <sz val="11"/>
        <color theme="1"/>
        <rFont val="WenQuanYi Zen Hei"/>
        <family val="2"/>
      </rPr>
      <t xml:space="preserve">열 </t>
    </r>
    <r>
      <rPr>
        <sz val="11"/>
        <color theme="1"/>
        <rFont val="Calibri"/>
        <family val="2"/>
        <charset val="1"/>
      </rPr>
      <t xml:space="preserve">= 1</t>
    </r>
    <r>
      <rPr>
        <sz val="11"/>
        <color theme="1"/>
        <rFont val="WenQuanYi Zen Hei"/>
        <family val="2"/>
      </rPr>
      <t xml:space="preserve">조당 </t>
    </r>
    <r>
      <rPr>
        <sz val="11"/>
        <color theme="1"/>
        <rFont val="Calibri"/>
        <family val="2"/>
        <charset val="1"/>
      </rPr>
      <t xml:space="preserve">kg)</t>
    </r>
  </si>
  <si>
    <t xml:space="preserve">푸시 반력 브래킷</t>
  </si>
  <si>
    <r>
      <rPr>
        <sz val="11"/>
        <color theme="1"/>
        <rFont val="Calibri"/>
        <family val="2"/>
        <charset val="1"/>
      </rPr>
      <t xml:space="preserve">PL-25 300×400 2</t>
    </r>
    <r>
      <rPr>
        <sz val="11"/>
        <color theme="1"/>
        <rFont val="WenQuanYi Zen Hei"/>
        <family val="2"/>
      </rPr>
      <t xml:space="preserve">매 </t>
    </r>
    <r>
      <rPr>
        <sz val="11"/>
        <color theme="1"/>
        <rFont val="Calibri"/>
        <family val="2"/>
        <charset val="1"/>
      </rPr>
      <t xml:space="preserve">+ PL-16 100×300 4</t>
    </r>
    <r>
      <rPr>
        <sz val="11"/>
        <color theme="1"/>
        <rFont val="WenQuanYi Zen Hei"/>
        <family val="2"/>
      </rPr>
      <t xml:space="preserve">매</t>
    </r>
  </si>
  <si>
    <r>
      <rPr>
        <sz val="11"/>
        <color theme="1"/>
        <rFont val="WenQuanYi Zen Hei"/>
        <family val="2"/>
      </rPr>
      <t xml:space="preserve">탈착식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밀착 후 제거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예시</t>
    </r>
    <r>
      <rPr>
        <sz val="11"/>
        <color theme="1"/>
        <rFont val="Calibri"/>
        <family val="2"/>
        <charset val="1"/>
      </rPr>
      <t xml:space="preserve">) (G</t>
    </r>
    <r>
      <rPr>
        <sz val="11"/>
        <color theme="1"/>
        <rFont val="WenQuanYi Zen Hei"/>
        <family val="2"/>
      </rPr>
      <t xml:space="preserve">열 </t>
    </r>
    <r>
      <rPr>
        <sz val="11"/>
        <color theme="1"/>
        <rFont val="Calibri"/>
        <family val="2"/>
        <charset val="1"/>
      </rPr>
      <t xml:space="preserve">= 1</t>
    </r>
    <r>
      <rPr>
        <sz val="11"/>
        <color theme="1"/>
        <rFont val="WenQuanYi Zen Hei"/>
        <family val="2"/>
      </rPr>
      <t xml:space="preserve">조당 </t>
    </r>
    <r>
      <rPr>
        <sz val="11"/>
        <color theme="1"/>
        <rFont val="Calibri"/>
        <family val="2"/>
        <charset val="1"/>
      </rPr>
      <t xml:space="preserve">kg)</t>
    </r>
  </si>
  <si>
    <t xml:space="preserve">소계</t>
  </si>
  <si>
    <t xml:space="preserve">손실률</t>
  </si>
  <si>
    <r>
      <rPr>
        <b val="true"/>
        <sz val="10"/>
        <color rgb="FF000000"/>
        <rFont val="WenQuanYi Zen Hei"/>
        <family val="2"/>
      </rPr>
      <t xml:space="preserve">발주 중량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손실 포함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</si>
  <si>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톤</t>
  </si>
  <si>
    <r>
      <rPr>
        <sz val="9"/>
        <color rgb="FF555555"/>
        <rFont val="WenQuanYi Zen Hei"/>
        <family val="2"/>
      </rPr>
      <t xml:space="preserve">도장면적 계수는 </t>
    </r>
    <r>
      <rPr>
        <sz val="9"/>
        <color rgb="FF555555"/>
        <rFont val="Arial"/>
        <family val="0"/>
        <charset val="1"/>
      </rPr>
      <t xml:space="preserve">H</t>
    </r>
    <r>
      <rPr>
        <sz val="9"/>
        <color rgb="FF555555"/>
        <rFont val="WenQuanYi Zen Hei"/>
        <family val="2"/>
      </rPr>
      <t xml:space="preserve">형강 외주 길이</t>
    </r>
    <r>
      <rPr>
        <sz val="9"/>
        <color rgb="FF555555"/>
        <rFont val="Arial"/>
        <family val="0"/>
        <charset val="1"/>
      </rPr>
      <t xml:space="preserve">(2×</t>
    </r>
    <r>
      <rPr>
        <sz val="9"/>
        <color rgb="FF555555"/>
        <rFont val="WenQuanYi Zen Hei"/>
        <family val="2"/>
      </rPr>
      <t xml:space="preserve">높이 </t>
    </r>
    <r>
      <rPr>
        <sz val="9"/>
        <color rgb="FF555555"/>
        <rFont val="Arial"/>
        <family val="0"/>
        <charset val="1"/>
      </rPr>
      <t xml:space="preserve">+ 4×</t>
    </r>
    <r>
      <rPr>
        <sz val="9"/>
        <color rgb="FF555555"/>
        <rFont val="WenQuanYi Zen Hei"/>
        <family val="2"/>
      </rPr>
      <t xml:space="preserve">플랜지폭 − </t>
    </r>
    <r>
      <rPr>
        <sz val="9"/>
        <color rgb="FF555555"/>
        <rFont val="Arial"/>
        <family val="0"/>
        <charset val="1"/>
      </rPr>
      <t xml:space="preserve">2×</t>
    </r>
    <r>
      <rPr>
        <sz val="9"/>
        <color rgb="FF555555"/>
        <rFont val="WenQuanYi Zen Hei"/>
        <family val="2"/>
      </rPr>
      <t xml:space="preserve">웨브두께</t>
    </r>
    <r>
      <rPr>
        <sz val="9"/>
        <color rgb="FF555555"/>
        <rFont val="Arial"/>
        <family val="0"/>
        <charset val="1"/>
      </rPr>
      <t xml:space="preserve">) </t>
    </r>
    <r>
      <rPr>
        <sz val="9"/>
        <color rgb="FF555555"/>
        <rFont val="WenQuanYi Zen Hei"/>
        <family val="2"/>
      </rPr>
      <t xml:space="preserve">기준 개략값이에요</t>
    </r>
    <r>
      <rPr>
        <sz val="9"/>
        <color rgb="FF555555"/>
        <rFont val="Arial"/>
        <family val="0"/>
        <charset val="1"/>
      </rPr>
      <t xml:space="preserve">.</t>
    </r>
  </si>
  <si>
    <t xml:space="preserve">공사 내역서</t>
  </si>
  <si>
    <r>
      <rPr>
        <sz val="9"/>
        <color rgb="FF555555"/>
        <rFont val="WenQuanYi Zen Hei"/>
        <family val="2"/>
      </rPr>
      <t xml:space="preserve">노란 칸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단가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WenQuanYi Zen Hei"/>
        <family val="2"/>
      </rPr>
      <t xml:space="preserve">만 입력하면 금액이 계산돼요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파란 글씨 수량은 가정값이라 확정 후 수정하세요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초록 글씨는 자재산출 시트에서 가져온 값이에요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</si>
  <si>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규격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내용</t>
    </r>
  </si>
  <si>
    <t xml:space="preserve">단위</t>
  </si>
  <si>
    <t xml:space="preserve">수량</t>
  </si>
  <si>
    <t xml:space="preserve">재료비 단가</t>
  </si>
  <si>
    <t xml:space="preserve">노무비 단가</t>
  </si>
  <si>
    <t xml:space="preserve">경비 단가</t>
  </si>
  <si>
    <t xml:space="preserve">합계</t>
  </si>
  <si>
    <r>
      <rPr>
        <b val="true"/>
        <sz val="10"/>
        <color rgb="FF000000"/>
        <rFont val="WenQuanYi Zen Hei"/>
        <family val="2"/>
      </rPr>
      <t xml:space="preserve">가설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준비</t>
    </r>
  </si>
  <si>
    <t xml:space="preserve">1.1</t>
  </si>
  <si>
    <r>
      <rPr>
        <sz val="10"/>
        <color rgb="FF000000"/>
        <rFont val="WenQuanYi Zen Hei"/>
        <family val="2"/>
      </rPr>
      <t xml:space="preserve">현장조사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실측</t>
    </r>
  </si>
  <si>
    <r>
      <rPr>
        <sz val="10"/>
        <color rgb="FF000000"/>
        <rFont val="WenQuanYi Zen Hei"/>
        <family val="2"/>
      </rPr>
      <t xml:space="preserve">지반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동선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간섭물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하부 용접선 위치</t>
    </r>
  </si>
  <si>
    <t xml:space="preserve">식</t>
  </si>
  <si>
    <t xml:space="preserve">1.2</t>
  </si>
  <si>
    <r>
      <rPr>
        <sz val="10"/>
        <color rgb="FF000000"/>
        <rFont val="WenQuanYi Zen Hei"/>
        <family val="2"/>
      </rPr>
      <t xml:space="preserve">이동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설치 작업계획서</t>
    </r>
  </si>
  <si>
    <r>
      <rPr>
        <sz val="10"/>
        <color rgb="FF000000"/>
        <rFont val="WenQuanYi Zen Hei"/>
        <family val="2"/>
      </rPr>
      <t xml:space="preserve">인양계획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크레인 위치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줄걸이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하중배분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위험성평가</t>
    </r>
  </si>
  <si>
    <t xml:space="preserve">작업계획서 별도 제출</t>
  </si>
  <si>
    <t xml:space="preserve">1.3</t>
  </si>
  <si>
    <t xml:space="preserve">구조검토</t>
  </si>
  <si>
    <r>
      <rPr>
        <sz val="10"/>
        <color rgb="FF000000"/>
        <rFont val="WenQuanYi Zen Hei"/>
        <family val="2"/>
      </rPr>
      <t xml:space="preserve">베이스 레일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지반 지지력 검토</t>
    </r>
  </si>
  <si>
    <r>
      <rPr>
        <sz val="10"/>
        <color rgb="FF000000"/>
        <rFont val="WenQuanYi Zen Hei"/>
        <family val="2"/>
      </rPr>
      <t xml:space="preserve">개략검토상 스키드가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줄에만 닿으면 휨 부족</t>
    </r>
  </si>
  <si>
    <t xml:space="preserve">1.4</t>
  </si>
  <si>
    <t xml:space="preserve">지반 평판재하시험</t>
  </si>
  <si>
    <t xml:space="preserve">아스팔트 지반 지지력 확인</t>
  </si>
  <si>
    <t xml:space="preserve">회</t>
  </si>
  <si>
    <t xml:space="preserve">필요 시</t>
  </si>
  <si>
    <r>
      <rPr>
        <b val="true"/>
        <sz val="10"/>
        <color rgb="FF000000"/>
        <rFont val="WenQuanYi Zen Hei"/>
        <family val="2"/>
      </rPr>
      <t xml:space="preserve">베이스 제작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설치</t>
    </r>
  </si>
  <si>
    <t xml:space="preserve">2.1</t>
  </si>
  <si>
    <r>
      <rPr>
        <sz val="10"/>
        <color rgb="FF000000"/>
        <rFont val="WenQuanYi Zen Hei"/>
        <family val="2"/>
      </rPr>
      <t xml:space="preserve">강재 </t>
    </r>
    <r>
      <rPr>
        <sz val="10"/>
        <color rgb="FF000000"/>
        <rFont val="Arial"/>
        <family val="0"/>
        <charset val="1"/>
      </rPr>
      <t xml:space="preserve">(H</t>
    </r>
    <r>
      <rPr>
        <sz val="10"/>
        <color rgb="FF000000"/>
        <rFont val="WenQuanYi Zen Hei"/>
        <family val="2"/>
      </rPr>
      <t xml:space="preserve">형강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강판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</si>
  <si>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사다리형 일체 베이스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손실 </t>
    </r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WenQuanYi Zen Hei"/>
        <family val="2"/>
      </rPr>
      <t xml:space="preserve">포함</t>
    </r>
  </si>
  <si>
    <t xml:space="preserve">kg</t>
  </si>
  <si>
    <t xml:space="preserve">자재산출 시트 연동</t>
  </si>
  <si>
    <t xml:space="preserve">2.2</t>
  </si>
  <si>
    <r>
      <rPr>
        <sz val="10"/>
        <color rgb="FF000000"/>
        <rFont val="WenQuanYi Zen Hei"/>
        <family val="2"/>
      </rPr>
      <t xml:space="preserve">가공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용접</t>
    </r>
  </si>
  <si>
    <r>
      <rPr>
        <sz val="10"/>
        <color rgb="FF000000"/>
        <rFont val="WenQuanYi Zen Hei"/>
        <family val="2"/>
      </rPr>
      <t xml:space="preserve">절단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조립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필렛 용접</t>
    </r>
  </si>
  <si>
    <t xml:space="preserve">2.3</t>
  </si>
  <si>
    <t xml:space="preserve">방청 도장</t>
  </si>
  <si>
    <r>
      <rPr>
        <sz val="10"/>
        <color rgb="FF000000"/>
        <rFont val="WenQuanYi Zen Hei"/>
        <family val="2"/>
      </rPr>
      <t xml:space="preserve">동력공구 소지조정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방청 프라이머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회</t>
    </r>
  </si>
  <si>
    <t xml:space="preserve">㎡</t>
  </si>
  <si>
    <t xml:space="preserve">2.4</t>
  </si>
  <si>
    <r>
      <rPr>
        <sz val="10"/>
        <color rgb="FF000000"/>
        <rFont val="WenQuanYi Zen Hei"/>
        <family val="2"/>
      </rPr>
      <t xml:space="preserve">베이스 운반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설치</t>
    </r>
  </si>
  <si>
    <r>
      <rPr>
        <sz val="10"/>
        <color rgb="FF000000"/>
        <rFont val="WenQuanYi Zen Hei"/>
        <family val="2"/>
      </rPr>
      <t xml:space="preserve">현장 </t>
    </r>
    <r>
      <rPr>
        <sz val="10"/>
        <color rgb="FF000000"/>
        <rFont val="Arial"/>
        <family val="0"/>
        <charset val="1"/>
      </rPr>
      <t xml:space="preserve">30t </t>
    </r>
    <r>
      <rPr>
        <sz val="10"/>
        <color rgb="FF000000"/>
        <rFont val="WenQuanYi Zen Hei"/>
        <family val="2"/>
      </rPr>
      <t xml:space="preserve">갠트리 사용 가정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레벨링 포함</t>
    </r>
  </si>
  <si>
    <t xml:space="preserve">2.5</t>
  </si>
  <si>
    <t xml:space="preserve">슬라이딩면 처리</t>
  </si>
  <si>
    <r>
      <rPr>
        <sz val="10"/>
        <color rgb="FF000000"/>
        <rFont val="WenQuanYi Zen Hei"/>
        <family val="2"/>
      </rPr>
      <t xml:space="preserve">레일 상면 그리스 또는 </t>
    </r>
    <r>
      <rPr>
        <sz val="10"/>
        <color rgb="FF000000"/>
        <rFont val="Arial"/>
        <family val="0"/>
        <charset val="1"/>
      </rPr>
      <t xml:space="preserve">PTFE·</t>
    </r>
    <r>
      <rPr>
        <sz val="10"/>
        <color rgb="FF000000"/>
        <rFont val="WenQuanYi Zen Hei"/>
        <family val="2"/>
      </rPr>
      <t xml:space="preserve">스테인리스 시트</t>
    </r>
  </si>
  <si>
    <r>
      <rPr>
        <sz val="10"/>
        <color rgb="FF000000"/>
        <rFont val="WenQuanYi Zen Hei"/>
        <family val="2"/>
      </rPr>
      <t xml:space="preserve">마찰계수 </t>
    </r>
    <r>
      <rPr>
        <sz val="10"/>
        <color rgb="FF000000"/>
        <rFont val="Arial"/>
        <family val="0"/>
        <charset val="1"/>
      </rPr>
      <t xml:space="preserve">0.1 </t>
    </r>
    <r>
      <rPr>
        <sz val="10"/>
        <color rgb="FF000000"/>
        <rFont val="WenQuanYi Zen Hei"/>
        <family val="2"/>
      </rPr>
      <t xml:space="preserve">기준 푸시력 약 </t>
    </r>
    <r>
      <rPr>
        <sz val="10"/>
        <color rgb="FF000000"/>
        <rFont val="Arial"/>
        <family val="0"/>
        <charset val="1"/>
      </rPr>
      <t xml:space="preserve">4.5tf</t>
    </r>
  </si>
  <si>
    <r>
      <rPr>
        <b val="true"/>
        <sz val="10"/>
        <color rgb="FF000000"/>
        <rFont val="Arial"/>
        <family val="0"/>
        <charset val="1"/>
      </rPr>
      <t xml:space="preserve">1·2</t>
    </r>
    <r>
      <rPr>
        <b val="true"/>
        <sz val="10"/>
        <color rgb="FF000000"/>
        <rFont val="WenQuanYi Zen Hei"/>
        <family val="2"/>
      </rPr>
      <t xml:space="preserve">호기 회전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이동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안착</t>
    </r>
  </si>
  <si>
    <t xml:space="preserve">3.1</t>
  </si>
  <si>
    <r>
      <rPr>
        <sz val="10"/>
        <color rgb="FF000000"/>
        <rFont val="WenQuanYi Zen Hei"/>
        <family val="2"/>
      </rPr>
      <t xml:space="preserve">대형 크레인 </t>
    </r>
    <r>
      <rPr>
        <sz val="10"/>
        <color rgb="FF000000"/>
        <rFont val="Arial"/>
        <family val="0"/>
        <charset val="1"/>
      </rPr>
      <t xml:space="preserve">(100t</t>
    </r>
    <r>
      <rPr>
        <sz val="10"/>
        <color rgb="FF000000"/>
        <rFont val="WenQuanYi Zen Hei"/>
        <family val="2"/>
      </rPr>
      <t xml:space="preserve">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</si>
  <si>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상단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점 인양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회전</t>
    </r>
  </si>
  <si>
    <t xml:space="preserve">일</t>
  </si>
  <si>
    <r>
      <rPr>
        <sz val="10"/>
        <color rgb="FF000000"/>
        <rFont val="WenQuanYi Zen Hei"/>
        <family val="2"/>
      </rPr>
      <t xml:space="preserve">장비 사양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일수는 인양계획 확정 후 수정</t>
    </r>
  </si>
  <si>
    <t xml:space="preserve">3.2</t>
  </si>
  <si>
    <r>
      <rPr>
        <sz val="10"/>
        <color rgb="FF000000"/>
        <rFont val="WenQuanYi Zen Hei"/>
        <family val="2"/>
      </rPr>
      <t xml:space="preserve">보조 크레인 </t>
    </r>
    <r>
      <rPr>
        <sz val="10"/>
        <color rgb="FF000000"/>
        <rFont val="Arial"/>
        <family val="0"/>
        <charset val="1"/>
      </rPr>
      <t xml:space="preserve">(60t</t>
    </r>
    <r>
      <rPr>
        <sz val="10"/>
        <color rgb="FF000000"/>
        <rFont val="WenQuanYi Zen Hei"/>
        <family val="2"/>
      </rPr>
      <t xml:space="preserve">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</si>
  <si>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하단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점 지지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회전 보조</t>
    </r>
  </si>
  <si>
    <t xml:space="preserve">3.3</t>
  </si>
  <si>
    <r>
      <rPr>
        <sz val="10"/>
        <color rgb="FF000000"/>
        <rFont val="WenQuanYi Zen Hei"/>
        <family val="2"/>
      </rPr>
      <t xml:space="preserve">줄걸이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인양 작업</t>
    </r>
  </si>
  <si>
    <r>
      <rPr>
        <sz val="10"/>
        <color rgb="FF000000"/>
        <rFont val="WenQuanYi Zen Hei"/>
        <family val="2"/>
      </rPr>
      <t xml:space="preserve">줄걸이 반장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기능공</t>
    </r>
  </si>
  <si>
    <t xml:space="preserve">인</t>
  </si>
  <si>
    <t xml:space="preserve">3.4</t>
  </si>
  <si>
    <t xml:space="preserve">인양 치공구</t>
  </si>
  <si>
    <r>
      <rPr>
        <sz val="10"/>
        <color rgb="FF000000"/>
        <rFont val="WenQuanYi Zen Hei"/>
        <family val="2"/>
      </rPr>
      <t xml:space="preserve">샤클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슬링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스프레더 빔</t>
    </r>
  </si>
  <si>
    <t xml:space="preserve">3.5</t>
  </si>
  <si>
    <r>
      <rPr>
        <sz val="10"/>
        <color rgb="FF000000"/>
        <rFont val="WenQuanYi Zen Hei"/>
        <family val="2"/>
      </rPr>
      <t xml:space="preserve">도어 분리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재설치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</si>
  <si>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호기 도어</t>
    </r>
  </si>
  <si>
    <t xml:space="preserve">3.6</t>
  </si>
  <si>
    <r>
      <rPr>
        <sz val="10"/>
        <color rgb="FF000000"/>
        <rFont val="WenQuanYi Zen Hei"/>
        <family val="2"/>
      </rPr>
      <t xml:space="preserve">배관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노즐 보양</t>
    </r>
  </si>
  <si>
    <r>
      <rPr>
        <sz val="10"/>
        <color rgb="FF000000"/>
        <rFont val="WenQuanYi Zen Hei"/>
        <family val="2"/>
      </rPr>
      <t xml:space="preserve">노즐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플랜지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통기구</t>
    </r>
  </si>
  <si>
    <r>
      <rPr>
        <b val="true"/>
        <sz val="10"/>
        <color rgb="FF000000"/>
        <rFont val="WenQuanYi Zen Hei"/>
        <family val="2"/>
      </rPr>
      <t xml:space="preserve">밀착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하부 접합</t>
    </r>
  </si>
  <si>
    <t xml:space="preserve">4.1</t>
  </si>
  <si>
    <t xml:space="preserve">밀착 장비 임대</t>
  </si>
  <si>
    <r>
      <rPr>
        <sz val="10"/>
        <color rgb="FF000000"/>
        <rFont val="WenQuanYi Zen Hei"/>
        <family val="2"/>
      </rPr>
      <t xml:space="preserve">유압잭 또는 윈치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용량 </t>
    </r>
    <r>
      <rPr>
        <sz val="10"/>
        <color rgb="FF000000"/>
        <rFont val="Arial"/>
        <family val="0"/>
        <charset val="1"/>
      </rPr>
      <t xml:space="preserve">25tf 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</si>
  <si>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마찰계수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WenQuanYi Zen Hei"/>
        <family val="2"/>
      </rPr>
      <t xml:space="preserve">기준 </t>
    </r>
    <r>
      <rPr>
        <sz val="10"/>
        <color rgb="FF000000"/>
        <rFont val="Arial"/>
        <family val="0"/>
        <charset val="1"/>
      </rPr>
      <t xml:space="preserve">22.5tf</t>
    </r>
  </si>
  <si>
    <t xml:space="preserve">4.2</t>
  </si>
  <si>
    <r>
      <rPr>
        <sz val="10"/>
        <color rgb="FF000000"/>
        <rFont val="WenQuanYi Zen Hei"/>
        <family val="2"/>
      </rPr>
      <t xml:space="preserve">밀착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정렬 작업</t>
    </r>
  </si>
  <si>
    <r>
      <rPr>
        <sz val="10"/>
        <color rgb="FF000000"/>
        <rFont val="WenQuanYi Zen Hei"/>
        <family val="2"/>
      </rPr>
      <t xml:space="preserve">절단면 사상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간격 확보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정렬</t>
    </r>
  </si>
  <si>
    <t xml:space="preserve">4.3</t>
  </si>
  <si>
    <t xml:space="preserve">접합부 용접</t>
  </si>
  <si>
    <r>
      <rPr>
        <sz val="10"/>
        <color rgb="FF000000"/>
        <rFont val="WenQuanYi Zen Hei"/>
        <family val="2"/>
      </rPr>
      <t xml:space="preserve">하부 접합선 용접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통로부 순높이 </t>
    </r>
    <r>
      <rPr>
        <sz val="10"/>
        <color rgb="FF000000"/>
        <rFont val="Arial"/>
        <family val="0"/>
        <charset val="1"/>
      </rPr>
      <t xml:space="preserve">550)</t>
    </r>
  </si>
  <si>
    <t xml:space="preserve">m</t>
  </si>
  <si>
    <r>
      <rPr>
        <sz val="10"/>
        <color rgb="FF000000"/>
        <rFont val="WenQuanYi Zen Hei"/>
        <family val="2"/>
      </rPr>
      <t xml:space="preserve">용접 길이 미확정</t>
    </r>
    <r>
      <rPr>
        <sz val="10"/>
        <color rgb="FF000000"/>
        <rFont val="Arial"/>
        <family val="0"/>
        <charset val="1"/>
      </rPr>
      <t xml:space="preserve">, 10m</t>
    </r>
    <r>
      <rPr>
        <sz val="10"/>
        <color rgb="FF000000"/>
        <rFont val="WenQuanYi Zen Hei"/>
        <family val="2"/>
      </rPr>
      <t xml:space="preserve">는 가정</t>
    </r>
  </si>
  <si>
    <t xml:space="preserve">4.4</t>
  </si>
  <si>
    <t xml:space="preserve">비파괴 검사</t>
  </si>
  <si>
    <r>
      <rPr>
        <sz val="10"/>
        <color rgb="FF000000"/>
        <rFont val="Arial"/>
        <family val="0"/>
        <charset val="1"/>
      </rPr>
      <t xml:space="preserve">PT </t>
    </r>
    <r>
      <rPr>
        <sz val="10"/>
        <color rgb="FF000000"/>
        <rFont val="WenQuanYi Zen Hei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UT</t>
    </r>
  </si>
  <si>
    <t xml:space="preserve">요구 시</t>
  </si>
  <si>
    <t xml:space="preserve">4.5</t>
  </si>
  <si>
    <r>
      <rPr>
        <sz val="10"/>
        <color rgb="FF000000"/>
        <rFont val="WenQuanYi Zen Hei"/>
        <family val="2"/>
      </rPr>
      <t xml:space="preserve">용접부 방청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도장 보수</t>
    </r>
  </si>
  <si>
    <r>
      <rPr>
        <sz val="10"/>
        <color rgb="FF000000"/>
        <rFont val="WenQuanYi Zen Hei"/>
        <family val="2"/>
      </rPr>
      <t xml:space="preserve">사상 후 프라이머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상도</t>
    </r>
  </si>
  <si>
    <r>
      <rPr>
        <b val="true"/>
        <sz val="10"/>
        <color rgb="FF000000"/>
        <rFont val="WenQuanYi Zen Hei"/>
        <family val="2"/>
      </rPr>
      <t xml:space="preserve">안전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부대</t>
    </r>
  </si>
  <si>
    <t xml:space="preserve">5.1</t>
  </si>
  <si>
    <t xml:space="preserve">안전관리</t>
  </si>
  <si>
    <r>
      <rPr>
        <sz val="10"/>
        <color rgb="FF000000"/>
        <rFont val="WenQuanYi Zen Hei"/>
        <family val="2"/>
      </rPr>
      <t xml:space="preserve">신호수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화기감시자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출입통제</t>
    </r>
  </si>
  <si>
    <t xml:space="preserve">5.2</t>
  </si>
  <si>
    <r>
      <rPr>
        <sz val="10"/>
        <color rgb="FF000000"/>
        <rFont val="WenQuanYi Zen Hei"/>
        <family val="2"/>
      </rPr>
      <t xml:space="preserve">밀폐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협소공간 작업 대책</t>
    </r>
  </si>
  <si>
    <r>
      <rPr>
        <sz val="10"/>
        <color rgb="FF000000"/>
        <rFont val="WenQuanYi Zen Hei"/>
        <family val="2"/>
      </rPr>
      <t xml:space="preserve">환기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조명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가스측정</t>
    </r>
  </si>
  <si>
    <t xml:space="preserve">통로부 저자세 용접</t>
  </si>
  <si>
    <t xml:space="preserve">5.3</t>
  </si>
  <si>
    <r>
      <rPr>
        <sz val="10"/>
        <color rgb="FF000000"/>
        <rFont val="WenQuanYi Zen Hei"/>
        <family val="2"/>
      </rPr>
      <t xml:space="preserve">폐기물 처리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정리</t>
    </r>
  </si>
  <si>
    <r>
      <rPr>
        <sz val="10"/>
        <color rgb="FF000000"/>
        <rFont val="WenQuanYi Zen Hei"/>
        <family val="2"/>
      </rPr>
      <t xml:space="preserve">사상분진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폐도료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</si>
</sst>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#,##0.0;\(#,##0.0\);\-"/>
    <numFmt numFmtId="168" formatCode="0%"/>
    <numFmt numFmtId="169" formatCode="0.00"/>
    <numFmt numFmtId="170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WenQuanYi Zen Hei"/>
      <family val="2"/>
    </font>
    <font>
      <sz val="9"/>
      <color rgb="FF555555"/>
      <name val="WenQuanYi Zen Hei"/>
      <family val="2"/>
    </font>
    <font>
      <sz val="9"/>
      <color rgb="FF555555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3"/>
      <color rgb="FF000000"/>
      <name val="WenQuanYi Zen Hei"/>
      <family val="2"/>
    </font>
    <font>
      <b val="true"/>
      <sz val="13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A8"/>
        <bgColor rgb="FFFCE9DD"/>
      </patternFill>
    </fill>
    <fill>
      <patternFill patternType="solid">
        <fgColor rgb="FF2F3E52"/>
        <bgColor rgb="FF333399"/>
      </patternFill>
    </fill>
    <fill>
      <patternFill patternType="solid">
        <fgColor rgb="FFFCE9DD"/>
        <bgColor rgb="FFDDE5EF"/>
      </patternFill>
    </fill>
    <fill>
      <patternFill patternType="solid">
        <fgColor rgb="FFDDE5EF"/>
        <bgColor rgb="FFFCE9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9DD"/>
      <rgbColor rgb="FFCCFFFF"/>
      <rgbColor rgb="FF660066"/>
      <rgbColor rgb="FFFF8080"/>
      <rgbColor rgb="FF0066CC"/>
      <rgbColor rgb="FFDDE5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F3E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5" min="3" style="0" width="15"/>
    <col collapsed="false" customWidth="true" hidden="false" outlineLevel="0" max="6" min="6" style="0" width="17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15" hidden="false" customHeight="false" outlineLevel="0" collapsed="false">
      <c r="A6" s="2" t="s">
        <v>7</v>
      </c>
      <c r="B6" s="4" t="s">
        <v>8</v>
      </c>
      <c r="C6" s="4"/>
      <c r="D6" s="4"/>
      <c r="E6" s="4"/>
      <c r="F6" s="4"/>
    </row>
    <row r="7" customFormat="false" ht="15" hidden="false" customHeight="fals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15" hidden="false" customHeight="false" outlineLevel="0" collapsed="false">
      <c r="A8" s="2" t="s">
        <v>11</v>
      </c>
      <c r="B8" s="5"/>
      <c r="C8" s="5"/>
      <c r="D8" s="5"/>
      <c r="E8" s="5"/>
      <c r="F8" s="5"/>
    </row>
    <row r="10" customFormat="false" ht="15" hidden="false" customHeight="false" outlineLevel="0" collapsed="false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</row>
    <row r="11" customFormat="false" ht="15" hidden="false" customHeight="false" outlineLevel="0" collapsed="false">
      <c r="A11" s="7" t="s">
        <v>18</v>
      </c>
      <c r="B11" s="8" t="s">
        <v>19</v>
      </c>
      <c r="C11" s="9" t="n">
        <f aca="false">내역서!I5</f>
        <v>0</v>
      </c>
      <c r="D11" s="9" t="n">
        <f aca="false">내역서!J5</f>
        <v>0</v>
      </c>
      <c r="E11" s="9" t="n">
        <f aca="false">내역서!K5</f>
        <v>0</v>
      </c>
      <c r="F11" s="9" t="n">
        <f aca="false">내역서!L5</f>
        <v>0</v>
      </c>
    </row>
    <row r="12" customFormat="false" ht="15" hidden="false" customHeight="false" outlineLevel="0" collapsed="false">
      <c r="A12" s="7" t="s">
        <v>20</v>
      </c>
      <c r="B12" s="8" t="s">
        <v>21</v>
      </c>
      <c r="C12" s="9" t="n">
        <f aca="false">내역서!I10</f>
        <v>0</v>
      </c>
      <c r="D12" s="9" t="n">
        <f aca="false">내역서!J10</f>
        <v>0</v>
      </c>
      <c r="E12" s="9" t="n">
        <f aca="false">내역서!K10</f>
        <v>0</v>
      </c>
      <c r="F12" s="9" t="n">
        <f aca="false">내역서!L10</f>
        <v>0</v>
      </c>
    </row>
    <row r="13" customFormat="false" ht="15" hidden="false" customHeight="false" outlineLevel="0" collapsed="false">
      <c r="A13" s="7" t="s">
        <v>22</v>
      </c>
      <c r="B13" s="7" t="s">
        <v>23</v>
      </c>
      <c r="C13" s="9" t="n">
        <f aca="false">내역서!I16</f>
        <v>0</v>
      </c>
      <c r="D13" s="9" t="n">
        <f aca="false">내역서!J16</f>
        <v>0</v>
      </c>
      <c r="E13" s="9" t="n">
        <f aca="false">내역서!K16</f>
        <v>0</v>
      </c>
      <c r="F13" s="9" t="n">
        <f aca="false">내역서!L16</f>
        <v>0</v>
      </c>
    </row>
    <row r="14" customFormat="false" ht="15" hidden="false" customHeight="false" outlineLevel="0" collapsed="false">
      <c r="A14" s="7" t="s">
        <v>24</v>
      </c>
      <c r="B14" s="8" t="s">
        <v>25</v>
      </c>
      <c r="C14" s="9" t="n">
        <f aca="false">내역서!I23</f>
        <v>0</v>
      </c>
      <c r="D14" s="9" t="n">
        <f aca="false">내역서!J23</f>
        <v>0</v>
      </c>
      <c r="E14" s="9" t="n">
        <f aca="false">내역서!K23</f>
        <v>0</v>
      </c>
      <c r="F14" s="9" t="n">
        <f aca="false">내역서!L23</f>
        <v>0</v>
      </c>
    </row>
    <row r="15" customFormat="false" ht="15" hidden="false" customHeight="false" outlineLevel="0" collapsed="false">
      <c r="A15" s="7" t="s">
        <v>26</v>
      </c>
      <c r="B15" s="8" t="s">
        <v>27</v>
      </c>
      <c r="C15" s="9" t="n">
        <f aca="false">내역서!I29</f>
        <v>0</v>
      </c>
      <c r="D15" s="9" t="n">
        <f aca="false">내역서!J29</f>
        <v>0</v>
      </c>
      <c r="E15" s="9" t="n">
        <f aca="false">내역서!K29</f>
        <v>0</v>
      </c>
      <c r="F15" s="9" t="n">
        <f aca="false">내역서!L29</f>
        <v>0</v>
      </c>
    </row>
    <row r="16" customFormat="false" ht="15" hidden="false" customHeight="false" outlineLevel="0" collapsed="false">
      <c r="A16" s="10"/>
      <c r="B16" s="11" t="s">
        <v>28</v>
      </c>
      <c r="C16" s="10"/>
      <c r="D16" s="10"/>
      <c r="E16" s="10"/>
      <c r="F16" s="12" t="n">
        <f aca="false">SUM(F11:F15)</f>
        <v>0</v>
      </c>
    </row>
    <row r="17" customFormat="false" ht="15" hidden="false" customHeight="false" outlineLevel="0" collapsed="false">
      <c r="A17" s="10"/>
      <c r="B17" s="8" t="s">
        <v>29</v>
      </c>
      <c r="C17" s="10"/>
      <c r="D17" s="10"/>
      <c r="E17" s="13" t="n">
        <v>0.06</v>
      </c>
      <c r="F17" s="14" t="n">
        <f aca="false">F16*E17</f>
        <v>0</v>
      </c>
    </row>
    <row r="18" customFormat="false" ht="15" hidden="false" customHeight="false" outlineLevel="0" collapsed="false">
      <c r="A18" s="10"/>
      <c r="B18" s="8" t="s">
        <v>30</v>
      </c>
      <c r="C18" s="10"/>
      <c r="D18" s="10"/>
      <c r="E18" s="13" t="n">
        <v>0.1</v>
      </c>
      <c r="F18" s="14" t="n">
        <f aca="false">(F16+F17)*E18</f>
        <v>0</v>
      </c>
    </row>
    <row r="19" customFormat="false" ht="15" hidden="false" customHeight="false" outlineLevel="0" collapsed="false">
      <c r="A19" s="10"/>
      <c r="B19" s="11" t="s">
        <v>31</v>
      </c>
      <c r="C19" s="10"/>
      <c r="D19" s="10"/>
      <c r="E19" s="10"/>
      <c r="F19" s="12" t="n">
        <f aca="false">F16+F17+F18</f>
        <v>0</v>
      </c>
    </row>
    <row r="20" customFormat="false" ht="15" hidden="false" customHeight="false" outlineLevel="0" collapsed="false">
      <c r="A20" s="10"/>
      <c r="B20" s="8" t="s">
        <v>32</v>
      </c>
      <c r="C20" s="10"/>
      <c r="D20" s="10"/>
      <c r="E20" s="10"/>
      <c r="F20" s="14" t="n">
        <f aca="false">F19*0.1</f>
        <v>0</v>
      </c>
    </row>
    <row r="21" customFormat="false" ht="15" hidden="false" customHeight="false" outlineLevel="0" collapsed="false">
      <c r="A21" s="15"/>
      <c r="B21" s="16" t="s">
        <v>33</v>
      </c>
      <c r="C21" s="15"/>
      <c r="D21" s="15"/>
      <c r="E21" s="15"/>
      <c r="F21" s="17" t="n">
        <f aca="false">F19+F20</f>
        <v>0</v>
      </c>
    </row>
    <row r="23" customFormat="false" ht="18" hidden="false" customHeight="true" outlineLevel="0" collapsed="false">
      <c r="A23" s="18" t="s">
        <v>34</v>
      </c>
      <c r="B23" s="18"/>
      <c r="C23" s="18"/>
      <c r="D23" s="18"/>
      <c r="E23" s="18"/>
      <c r="F23" s="18"/>
    </row>
    <row r="24" customFormat="false" ht="27.75" hidden="false" customHeight="true" outlineLevel="0" collapsed="false">
      <c r="A24" s="19" t="s">
        <v>35</v>
      </c>
      <c r="B24" s="19"/>
      <c r="C24" s="19"/>
      <c r="D24" s="19"/>
      <c r="E24" s="19"/>
      <c r="F24" s="19"/>
    </row>
    <row r="25" customFormat="false" ht="27.75" hidden="false" customHeight="true" outlineLevel="0" collapsed="false">
      <c r="A25" s="19" t="s">
        <v>36</v>
      </c>
      <c r="B25" s="19"/>
      <c r="C25" s="19"/>
      <c r="D25" s="19"/>
      <c r="E25" s="19"/>
      <c r="F25" s="19"/>
    </row>
    <row r="26" customFormat="false" ht="27.75" hidden="false" customHeight="true" outlineLevel="0" collapsed="false">
      <c r="A26" s="19" t="s">
        <v>37</v>
      </c>
      <c r="B26" s="19"/>
      <c r="C26" s="19"/>
      <c r="D26" s="19"/>
      <c r="E26" s="19"/>
      <c r="F26" s="19"/>
    </row>
    <row r="27" customFormat="false" ht="27.75" hidden="false" customHeight="true" outlineLevel="0" collapsed="false">
      <c r="A27" s="19" t="s">
        <v>38</v>
      </c>
      <c r="B27" s="19"/>
      <c r="C27" s="19"/>
      <c r="D27" s="19"/>
      <c r="E27" s="19"/>
      <c r="F27" s="19"/>
    </row>
    <row r="28" customFormat="false" ht="27.75" hidden="false" customHeight="true" outlineLevel="0" collapsed="false">
      <c r="A28" s="19" t="s">
        <v>39</v>
      </c>
      <c r="B28" s="19"/>
      <c r="C28" s="19"/>
      <c r="D28" s="19"/>
      <c r="E28" s="19"/>
      <c r="F28" s="19"/>
    </row>
    <row r="30" customFormat="false" ht="13.4" hidden="false" customHeight="false" outlineLevel="0" collapsed="false">
      <c r="A30" s="20" t="s">
        <v>40</v>
      </c>
      <c r="B30" s="20"/>
      <c r="C30" s="20"/>
      <c r="D30" s="20"/>
      <c r="E30" s="20"/>
      <c r="F30" s="20"/>
    </row>
  </sheetData>
  <mergeCells count="14">
    <mergeCell ref="A1:F1"/>
    <mergeCell ref="B3:F3"/>
    <mergeCell ref="B4:F4"/>
    <mergeCell ref="B5:F5"/>
    <mergeCell ref="B6:F6"/>
    <mergeCell ref="B7:F7"/>
    <mergeCell ref="B8:F8"/>
    <mergeCell ref="A23:F23"/>
    <mergeCell ref="A24:F24"/>
    <mergeCell ref="A25:F25"/>
    <mergeCell ref="A26:F26"/>
    <mergeCell ref="A27:F27"/>
    <mergeCell ref="A28:F28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4"/>
  </cols>
  <sheetData>
    <row r="1" customFormat="false" ht="17.15" hidden="false" customHeight="false" outlineLevel="0" collapsed="false">
      <c r="A1" s="21" t="s">
        <v>41</v>
      </c>
    </row>
    <row r="2" customFormat="false" ht="15" hidden="false" customHeight="false" outlineLevel="0" collapsed="false">
      <c r="A2" s="22" t="s">
        <v>42</v>
      </c>
    </row>
    <row r="4" customFormat="false" ht="30" hidden="false" customHeight="true" outlineLevel="0" collapsed="false">
      <c r="A4" s="23" t="s">
        <v>12</v>
      </c>
      <c r="B4" s="23" t="s">
        <v>43</v>
      </c>
      <c r="C4" s="23" t="s">
        <v>44</v>
      </c>
      <c r="D4" s="23" t="s">
        <v>45</v>
      </c>
      <c r="E4" s="23" t="s">
        <v>46</v>
      </c>
      <c r="F4" s="23" t="s">
        <v>47</v>
      </c>
      <c r="G4" s="23" t="s">
        <v>48</v>
      </c>
      <c r="H4" s="23" t="s">
        <v>49</v>
      </c>
      <c r="I4" s="23" t="s">
        <v>50</v>
      </c>
      <c r="J4" s="23" t="s">
        <v>51</v>
      </c>
      <c r="K4" s="23" t="s">
        <v>52</v>
      </c>
    </row>
    <row r="5" customFormat="false" ht="15" hidden="false" customHeight="false" outlineLevel="0" collapsed="false">
      <c r="A5" s="10" t="n">
        <v>1</v>
      </c>
      <c r="B5" s="24" t="s">
        <v>53</v>
      </c>
      <c r="C5" s="10" t="s">
        <v>54</v>
      </c>
      <c r="D5" s="25" t="n">
        <v>4</v>
      </c>
      <c r="E5" s="26" t="n">
        <v>10</v>
      </c>
      <c r="F5" s="27" t="n">
        <f aca="false">D5*E5</f>
        <v>40</v>
      </c>
      <c r="G5" s="26" t="n">
        <v>29.6</v>
      </c>
      <c r="H5" s="28" t="n">
        <f aca="false">F5*G5</f>
        <v>1184</v>
      </c>
      <c r="I5" s="26" t="n">
        <v>0.99</v>
      </c>
      <c r="J5" s="27" t="n">
        <f aca="false">F5*I5</f>
        <v>39.6</v>
      </c>
      <c r="K5" s="10" t="s">
        <v>55</v>
      </c>
    </row>
    <row r="6" customFormat="false" ht="15" hidden="false" customHeight="false" outlineLevel="0" collapsed="false">
      <c r="A6" s="10" t="n">
        <v>2</v>
      </c>
      <c r="B6" s="24" t="s">
        <v>56</v>
      </c>
      <c r="C6" s="10" t="s">
        <v>57</v>
      </c>
      <c r="D6" s="25" t="n">
        <v>18</v>
      </c>
      <c r="E6" s="26" t="n">
        <f aca="false">(1100+2200+1100-3*125)/1000/3</f>
        <v>1.34166666666667</v>
      </c>
      <c r="F6" s="27" t="n">
        <f aca="false">D6*E6</f>
        <v>24.15</v>
      </c>
      <c r="G6" s="26" t="n">
        <v>14</v>
      </c>
      <c r="H6" s="28" t="n">
        <f aca="false">F6*G6</f>
        <v>338.1</v>
      </c>
      <c r="I6" s="26" t="n">
        <v>0.59</v>
      </c>
      <c r="J6" s="27" t="n">
        <f aca="false">F6*I6</f>
        <v>14.2485</v>
      </c>
      <c r="K6" s="10" t="s">
        <v>58</v>
      </c>
    </row>
    <row r="7" customFormat="false" ht="15" hidden="false" customHeight="false" outlineLevel="0" collapsed="false">
      <c r="A7" s="10" t="n">
        <v>3</v>
      </c>
      <c r="B7" s="24" t="s">
        <v>59</v>
      </c>
      <c r="C7" s="10" t="s">
        <v>60</v>
      </c>
      <c r="D7" s="25" t="n">
        <v>8</v>
      </c>
      <c r="E7" s="26" t="n">
        <v>4.7</v>
      </c>
      <c r="F7" s="27" t="n">
        <f aca="false">D7*E7</f>
        <v>37.6</v>
      </c>
      <c r="G7" s="26" t="n">
        <v>21.3</v>
      </c>
      <c r="H7" s="28" t="n">
        <f aca="false">F7*G7</f>
        <v>800.88</v>
      </c>
      <c r="I7" s="26" t="n">
        <v>0.79</v>
      </c>
      <c r="J7" s="27" t="n">
        <f aca="false">F7*I7</f>
        <v>29.704</v>
      </c>
      <c r="K7" s="24" t="s">
        <v>61</v>
      </c>
    </row>
    <row r="8" customFormat="false" ht="15" hidden="false" customHeight="false" outlineLevel="0" collapsed="false">
      <c r="A8" s="10" t="n">
        <v>4</v>
      </c>
      <c r="B8" s="24" t="s">
        <v>62</v>
      </c>
      <c r="C8" s="10" t="s">
        <v>57</v>
      </c>
      <c r="D8" s="25" t="n">
        <v>18</v>
      </c>
      <c r="E8" s="26" t="n">
        <f aca="false">(1100+2200+1100-3*125)/1000/3</f>
        <v>1.34166666666667</v>
      </c>
      <c r="F8" s="27" t="n">
        <f aca="false">D8*E8</f>
        <v>24.15</v>
      </c>
      <c r="G8" s="26" t="n">
        <v>14</v>
      </c>
      <c r="H8" s="28" t="n">
        <f aca="false">F8*G8</f>
        <v>338.1</v>
      </c>
      <c r="I8" s="26" t="n">
        <v>0.59</v>
      </c>
      <c r="J8" s="27" t="n">
        <f aca="false">F8*I8</f>
        <v>14.2485</v>
      </c>
      <c r="K8" s="10" t="s">
        <v>63</v>
      </c>
    </row>
    <row r="9" customFormat="false" ht="15" hidden="false" customHeight="false" outlineLevel="0" collapsed="false">
      <c r="A9" s="10" t="n">
        <v>5</v>
      </c>
      <c r="B9" s="24" t="s">
        <v>64</v>
      </c>
      <c r="C9" s="10" t="s">
        <v>65</v>
      </c>
      <c r="D9" s="25" t="n">
        <v>24</v>
      </c>
      <c r="E9" s="26" t="n">
        <v>0.35</v>
      </c>
      <c r="F9" s="27" t="n">
        <f aca="false">D9*E9</f>
        <v>8.4</v>
      </c>
      <c r="G9" s="26" t="n">
        <v>23.8</v>
      </c>
      <c r="H9" s="28" t="n">
        <f aca="false">F9*G9</f>
        <v>199.92</v>
      </c>
      <c r="I9" s="26" t="n">
        <v>0.73</v>
      </c>
      <c r="J9" s="27" t="n">
        <f aca="false">F9*I9</f>
        <v>6.132</v>
      </c>
      <c r="K9" s="24" t="s">
        <v>66</v>
      </c>
    </row>
    <row r="10" customFormat="false" ht="15" hidden="false" customHeight="false" outlineLevel="0" collapsed="false">
      <c r="A10" s="10" t="n">
        <v>6</v>
      </c>
      <c r="B10" s="24" t="s">
        <v>67</v>
      </c>
      <c r="C10" s="10" t="s">
        <v>68</v>
      </c>
      <c r="D10" s="25" t="n">
        <v>24</v>
      </c>
      <c r="E10" s="27"/>
      <c r="F10" s="27"/>
      <c r="G10" s="27" t="n">
        <f aca="false">(2*120*230*9+2*90*184*9)*7.85/1000000</f>
        <v>6.239808</v>
      </c>
      <c r="H10" s="28" t="n">
        <f aca="false">D10*G10</f>
        <v>149.755392</v>
      </c>
      <c r="I10" s="27"/>
      <c r="J10" s="27"/>
      <c r="K10" s="24" t="s">
        <v>69</v>
      </c>
    </row>
    <row r="11" customFormat="false" ht="15" hidden="false" customHeight="false" outlineLevel="0" collapsed="false">
      <c r="A11" s="10" t="n">
        <v>7</v>
      </c>
      <c r="B11" s="24" t="s">
        <v>70</v>
      </c>
      <c r="C11" s="10" t="s">
        <v>71</v>
      </c>
      <c r="D11" s="25" t="n">
        <v>1</v>
      </c>
      <c r="E11" s="27"/>
      <c r="F11" s="27"/>
      <c r="G11" s="27" t="n">
        <f aca="false">(2*300*400*25+4*100*300*16)*7.85/1000000</f>
        <v>62.172</v>
      </c>
      <c r="H11" s="28" t="n">
        <f aca="false">D11*G11</f>
        <v>62.172</v>
      </c>
      <c r="I11" s="27"/>
      <c r="J11" s="27"/>
      <c r="K11" s="24" t="s">
        <v>72</v>
      </c>
    </row>
    <row r="12" customFormat="false" ht="15" hidden="false" customHeight="false" outlineLevel="0" collapsed="false">
      <c r="A12" s="15"/>
      <c r="B12" s="16" t="s">
        <v>73</v>
      </c>
      <c r="C12" s="15"/>
      <c r="D12" s="15"/>
      <c r="E12" s="29"/>
      <c r="F12" s="29"/>
      <c r="G12" s="15"/>
      <c r="H12" s="17" t="n">
        <f aca="false">SUM(H5:H11)</f>
        <v>3072.927392</v>
      </c>
      <c r="I12" s="29"/>
      <c r="J12" s="30" t="n">
        <f aca="false">SUM(J5:J11)</f>
        <v>103.933</v>
      </c>
      <c r="K12" s="15"/>
    </row>
    <row r="13" customFormat="false" ht="15" hidden="false" customHeight="false" outlineLevel="0" collapsed="false">
      <c r="A13" s="15"/>
      <c r="B13" s="31" t="s">
        <v>74</v>
      </c>
      <c r="C13" s="32" t="n">
        <v>0.05</v>
      </c>
      <c r="D13" s="15"/>
      <c r="E13" s="29"/>
      <c r="F13" s="29"/>
      <c r="G13" s="15"/>
      <c r="H13" s="33"/>
      <c r="I13" s="29"/>
      <c r="J13" s="29"/>
      <c r="K13" s="15"/>
    </row>
    <row r="14" customFormat="false" ht="15" hidden="false" customHeight="false" outlineLevel="0" collapsed="false">
      <c r="A14" s="15"/>
      <c r="B14" s="16" t="s">
        <v>75</v>
      </c>
      <c r="C14" s="15"/>
      <c r="D14" s="15"/>
      <c r="E14" s="29"/>
      <c r="F14" s="29"/>
      <c r="G14" s="15"/>
      <c r="H14" s="17" t="n">
        <f aca="false">H12*(1+C13)</f>
        <v>3226.5737616</v>
      </c>
      <c r="I14" s="34" t="s">
        <v>76</v>
      </c>
      <c r="J14" s="35" t="n">
        <f aca="false">H14/1000</f>
        <v>3.2265737616</v>
      </c>
      <c r="K14" s="15"/>
    </row>
    <row r="16" customFormat="false" ht="15" hidden="false" customHeight="false" outlineLevel="0" collapsed="false">
      <c r="A16" s="2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36"/>
  </cols>
  <sheetData>
    <row r="1" customFormat="false" ht="16.15" hidden="false" customHeight="false" outlineLevel="0" collapsed="false">
      <c r="A1" s="21" t="s">
        <v>78</v>
      </c>
    </row>
    <row r="2" customFormat="false" ht="15" hidden="false" customHeight="false" outlineLevel="0" collapsed="false">
      <c r="A2" s="22" t="s">
        <v>79</v>
      </c>
    </row>
    <row r="4" customFormat="false" ht="30" hidden="false" customHeight="true" outlineLevel="0" collapsed="false">
      <c r="A4" s="23" t="s">
        <v>12</v>
      </c>
      <c r="B4" s="23" t="s">
        <v>13</v>
      </c>
      <c r="C4" s="23" t="s">
        <v>80</v>
      </c>
      <c r="D4" s="23" t="s">
        <v>81</v>
      </c>
      <c r="E4" s="23" t="s">
        <v>82</v>
      </c>
      <c r="F4" s="23" t="s">
        <v>83</v>
      </c>
      <c r="G4" s="23" t="s">
        <v>84</v>
      </c>
      <c r="H4" s="23" t="s">
        <v>85</v>
      </c>
      <c r="I4" s="23" t="s">
        <v>14</v>
      </c>
      <c r="J4" s="23" t="s">
        <v>15</v>
      </c>
      <c r="K4" s="23" t="s">
        <v>16</v>
      </c>
      <c r="L4" s="23" t="s">
        <v>86</v>
      </c>
      <c r="M4" s="23" t="s">
        <v>52</v>
      </c>
    </row>
    <row r="5" customFormat="false" ht="15" hidden="false" customHeight="false" outlineLevel="0" collapsed="false">
      <c r="A5" s="36" t="s">
        <v>18</v>
      </c>
      <c r="B5" s="37" t="s">
        <v>87</v>
      </c>
      <c r="C5" s="37"/>
      <c r="D5" s="37"/>
      <c r="E5" s="37"/>
      <c r="F5" s="37"/>
      <c r="G5" s="37"/>
      <c r="H5" s="37"/>
      <c r="I5" s="38" t="n">
        <f aca="false">SUM(I6:I9)</f>
        <v>0</v>
      </c>
      <c r="J5" s="38" t="n">
        <f aca="false">SUM(J6:J9)</f>
        <v>0</v>
      </c>
      <c r="K5" s="38" t="n">
        <f aca="false">SUM(K6:K9)</f>
        <v>0</v>
      </c>
      <c r="L5" s="38" t="n">
        <f aca="false">SUM(L6:L9)</f>
        <v>0</v>
      </c>
      <c r="M5" s="37"/>
    </row>
    <row r="6" customFormat="false" ht="15" hidden="false" customHeight="false" outlineLevel="0" collapsed="false">
      <c r="A6" s="7" t="s">
        <v>88</v>
      </c>
      <c r="B6" s="8" t="s">
        <v>89</v>
      </c>
      <c r="C6" s="8" t="s">
        <v>90</v>
      </c>
      <c r="D6" s="8" t="s">
        <v>91</v>
      </c>
      <c r="E6" s="39" t="n">
        <v>1</v>
      </c>
      <c r="F6" s="40"/>
      <c r="G6" s="40"/>
      <c r="H6" s="40"/>
      <c r="I6" s="14" t="n">
        <f aca="false">E6*F6</f>
        <v>0</v>
      </c>
      <c r="J6" s="14" t="n">
        <f aca="false">E6*G6</f>
        <v>0</v>
      </c>
      <c r="K6" s="14" t="n">
        <f aca="false">E6*H6</f>
        <v>0</v>
      </c>
      <c r="L6" s="14" t="n">
        <f aca="false">SUM(I6:K6)</f>
        <v>0</v>
      </c>
      <c r="M6" s="8"/>
    </row>
    <row r="7" customFormat="false" ht="15" hidden="false" customHeight="false" outlineLevel="0" collapsed="false">
      <c r="A7" s="7" t="s">
        <v>92</v>
      </c>
      <c r="B7" s="8" t="s">
        <v>93</v>
      </c>
      <c r="C7" s="8" t="s">
        <v>94</v>
      </c>
      <c r="D7" s="8" t="s">
        <v>91</v>
      </c>
      <c r="E7" s="39" t="n">
        <v>1</v>
      </c>
      <c r="F7" s="40"/>
      <c r="G7" s="40"/>
      <c r="H7" s="40"/>
      <c r="I7" s="14" t="n">
        <f aca="false">E7*F7</f>
        <v>0</v>
      </c>
      <c r="J7" s="14" t="n">
        <f aca="false">E7*G7</f>
        <v>0</v>
      </c>
      <c r="K7" s="14" t="n">
        <f aca="false">E7*H7</f>
        <v>0</v>
      </c>
      <c r="L7" s="14" t="n">
        <f aca="false">SUM(I7:K7)</f>
        <v>0</v>
      </c>
      <c r="M7" s="8" t="s">
        <v>95</v>
      </c>
    </row>
    <row r="8" customFormat="false" ht="15" hidden="false" customHeight="false" outlineLevel="0" collapsed="false">
      <c r="A8" s="7" t="s">
        <v>96</v>
      </c>
      <c r="B8" s="8" t="s">
        <v>97</v>
      </c>
      <c r="C8" s="8" t="s">
        <v>98</v>
      </c>
      <c r="D8" s="8" t="s">
        <v>91</v>
      </c>
      <c r="E8" s="39" t="n">
        <v>1</v>
      </c>
      <c r="F8" s="40"/>
      <c r="G8" s="40"/>
      <c r="H8" s="40"/>
      <c r="I8" s="14" t="n">
        <f aca="false">E8*F8</f>
        <v>0</v>
      </c>
      <c r="J8" s="14" t="n">
        <f aca="false">E8*G8</f>
        <v>0</v>
      </c>
      <c r="K8" s="14" t="n">
        <f aca="false">E8*H8</f>
        <v>0</v>
      </c>
      <c r="L8" s="14" t="n">
        <f aca="false">SUM(I8:K8)</f>
        <v>0</v>
      </c>
      <c r="M8" s="8" t="s">
        <v>99</v>
      </c>
    </row>
    <row r="9" customFormat="false" ht="15" hidden="false" customHeight="false" outlineLevel="0" collapsed="false">
      <c r="A9" s="7" t="s">
        <v>100</v>
      </c>
      <c r="B9" s="8" t="s">
        <v>101</v>
      </c>
      <c r="C9" s="8" t="s">
        <v>102</v>
      </c>
      <c r="D9" s="8" t="s">
        <v>103</v>
      </c>
      <c r="E9" s="39" t="n">
        <v>1</v>
      </c>
      <c r="F9" s="40"/>
      <c r="G9" s="40"/>
      <c r="H9" s="40"/>
      <c r="I9" s="14" t="n">
        <f aca="false">E9*F9</f>
        <v>0</v>
      </c>
      <c r="J9" s="14" t="n">
        <f aca="false">E9*G9</f>
        <v>0</v>
      </c>
      <c r="K9" s="14" t="n">
        <f aca="false">E9*H9</f>
        <v>0</v>
      </c>
      <c r="L9" s="14" t="n">
        <f aca="false">SUM(I9:K9)</f>
        <v>0</v>
      </c>
      <c r="M9" s="8" t="s">
        <v>104</v>
      </c>
    </row>
    <row r="10" customFormat="false" ht="15" hidden="false" customHeight="false" outlineLevel="0" collapsed="false">
      <c r="A10" s="36" t="s">
        <v>20</v>
      </c>
      <c r="B10" s="37" t="s">
        <v>105</v>
      </c>
      <c r="C10" s="37"/>
      <c r="D10" s="37"/>
      <c r="E10" s="37"/>
      <c r="F10" s="37"/>
      <c r="G10" s="37"/>
      <c r="H10" s="37"/>
      <c r="I10" s="38" t="n">
        <f aca="false">SUM(I11:I15)</f>
        <v>0</v>
      </c>
      <c r="J10" s="38" t="n">
        <f aca="false">SUM(J11:J15)</f>
        <v>0</v>
      </c>
      <c r="K10" s="38" t="n">
        <f aca="false">SUM(K11:K15)</f>
        <v>0</v>
      </c>
      <c r="L10" s="38" t="n">
        <f aca="false">SUM(L11:L15)</f>
        <v>0</v>
      </c>
      <c r="M10" s="37"/>
    </row>
    <row r="11" customFormat="false" ht="15" hidden="false" customHeight="false" outlineLevel="0" collapsed="false">
      <c r="A11" s="7" t="s">
        <v>106</v>
      </c>
      <c r="B11" s="8" t="s">
        <v>107</v>
      </c>
      <c r="C11" s="8" t="s">
        <v>108</v>
      </c>
      <c r="D11" s="7" t="s">
        <v>109</v>
      </c>
      <c r="E11" s="41" t="n">
        <f aca="false">자재산출!$H$14</f>
        <v>3226.5737616</v>
      </c>
      <c r="F11" s="40"/>
      <c r="G11" s="40"/>
      <c r="H11" s="40"/>
      <c r="I11" s="14" t="n">
        <f aca="false">E11*F11</f>
        <v>0</v>
      </c>
      <c r="J11" s="14" t="n">
        <f aca="false">E11*G11</f>
        <v>0</v>
      </c>
      <c r="K11" s="14" t="n">
        <f aca="false">E11*H11</f>
        <v>0</v>
      </c>
      <c r="L11" s="14" t="n">
        <f aca="false">SUM(I11:K11)</f>
        <v>0</v>
      </c>
      <c r="M11" s="8" t="s">
        <v>110</v>
      </c>
    </row>
    <row r="12" customFormat="false" ht="15" hidden="false" customHeight="false" outlineLevel="0" collapsed="false">
      <c r="A12" s="7" t="s">
        <v>111</v>
      </c>
      <c r="B12" s="8" t="s">
        <v>112</v>
      </c>
      <c r="C12" s="8" t="s">
        <v>113</v>
      </c>
      <c r="D12" s="7" t="s">
        <v>109</v>
      </c>
      <c r="E12" s="41" t="n">
        <f aca="false">자재산출!$H$14</f>
        <v>3226.5737616</v>
      </c>
      <c r="F12" s="40"/>
      <c r="G12" s="40"/>
      <c r="H12" s="40"/>
      <c r="I12" s="14" t="n">
        <f aca="false">E12*F12</f>
        <v>0</v>
      </c>
      <c r="J12" s="14" t="n">
        <f aca="false">E12*G12</f>
        <v>0</v>
      </c>
      <c r="K12" s="14" t="n">
        <f aca="false">E12*H12</f>
        <v>0</v>
      </c>
      <c r="L12" s="14" t="n">
        <f aca="false">SUM(I12:K12)</f>
        <v>0</v>
      </c>
      <c r="M12" s="8" t="s">
        <v>110</v>
      </c>
    </row>
    <row r="13" customFormat="false" ht="15" hidden="false" customHeight="false" outlineLevel="0" collapsed="false">
      <c r="A13" s="7" t="s">
        <v>114</v>
      </c>
      <c r="B13" s="8" t="s">
        <v>115</v>
      </c>
      <c r="C13" s="8" t="s">
        <v>116</v>
      </c>
      <c r="D13" s="8" t="s">
        <v>117</v>
      </c>
      <c r="E13" s="41" t="n">
        <f aca="false">자재산출!$J$12</f>
        <v>103.933</v>
      </c>
      <c r="F13" s="40"/>
      <c r="G13" s="40"/>
      <c r="H13" s="40"/>
      <c r="I13" s="14" t="n">
        <f aca="false">E13*F13</f>
        <v>0</v>
      </c>
      <c r="J13" s="14" t="n">
        <f aca="false">E13*G13</f>
        <v>0</v>
      </c>
      <c r="K13" s="14" t="n">
        <f aca="false">E13*H13</f>
        <v>0</v>
      </c>
      <c r="L13" s="14" t="n">
        <f aca="false">SUM(I13:K13)</f>
        <v>0</v>
      </c>
      <c r="M13" s="8" t="s">
        <v>110</v>
      </c>
    </row>
    <row r="14" customFormat="false" ht="15" hidden="false" customHeight="false" outlineLevel="0" collapsed="false">
      <c r="A14" s="7" t="s">
        <v>118</v>
      </c>
      <c r="B14" s="8" t="s">
        <v>119</v>
      </c>
      <c r="C14" s="8" t="s">
        <v>120</v>
      </c>
      <c r="D14" s="8" t="s">
        <v>91</v>
      </c>
      <c r="E14" s="39" t="n">
        <v>1</v>
      </c>
      <c r="F14" s="40"/>
      <c r="G14" s="40"/>
      <c r="H14" s="40"/>
      <c r="I14" s="14" t="n">
        <f aca="false">E14*F14</f>
        <v>0</v>
      </c>
      <c r="J14" s="14" t="n">
        <f aca="false">E14*G14</f>
        <v>0</v>
      </c>
      <c r="K14" s="14" t="n">
        <f aca="false">E14*H14</f>
        <v>0</v>
      </c>
      <c r="L14" s="14" t="n">
        <f aca="false">SUM(I14:K14)</f>
        <v>0</v>
      </c>
      <c r="M14" s="8"/>
    </row>
    <row r="15" customFormat="false" ht="15" hidden="false" customHeight="false" outlineLevel="0" collapsed="false">
      <c r="A15" s="7" t="s">
        <v>121</v>
      </c>
      <c r="B15" s="8" t="s">
        <v>122</v>
      </c>
      <c r="C15" s="8" t="s">
        <v>123</v>
      </c>
      <c r="D15" s="8" t="s">
        <v>91</v>
      </c>
      <c r="E15" s="39" t="n">
        <v>1</v>
      </c>
      <c r="F15" s="40"/>
      <c r="G15" s="40"/>
      <c r="H15" s="40"/>
      <c r="I15" s="14" t="n">
        <f aca="false">E15*F15</f>
        <v>0</v>
      </c>
      <c r="J15" s="14" t="n">
        <f aca="false">E15*G15</f>
        <v>0</v>
      </c>
      <c r="K15" s="14" t="n">
        <f aca="false">E15*H15</f>
        <v>0</v>
      </c>
      <c r="L15" s="14" t="n">
        <f aca="false">SUM(I15:K15)</f>
        <v>0</v>
      </c>
      <c r="M15" s="8" t="s">
        <v>124</v>
      </c>
    </row>
    <row r="16" customFormat="false" ht="15" hidden="false" customHeight="false" outlineLevel="0" collapsed="false">
      <c r="A16" s="36" t="s">
        <v>22</v>
      </c>
      <c r="B16" s="36" t="s">
        <v>125</v>
      </c>
      <c r="C16" s="37"/>
      <c r="D16" s="37"/>
      <c r="E16" s="37"/>
      <c r="F16" s="37"/>
      <c r="G16" s="37"/>
      <c r="H16" s="37"/>
      <c r="I16" s="38" t="n">
        <f aca="false">SUM(I17:I22)</f>
        <v>0</v>
      </c>
      <c r="J16" s="38" t="n">
        <f aca="false">SUM(J17:J22)</f>
        <v>0</v>
      </c>
      <c r="K16" s="38" t="n">
        <f aca="false">SUM(K17:K22)</f>
        <v>0</v>
      </c>
      <c r="L16" s="38" t="n">
        <f aca="false">SUM(L17:L22)</f>
        <v>0</v>
      </c>
      <c r="M16" s="37"/>
    </row>
    <row r="17" customFormat="false" ht="15" hidden="false" customHeight="false" outlineLevel="0" collapsed="false">
      <c r="A17" s="7" t="s">
        <v>126</v>
      </c>
      <c r="B17" s="8" t="s">
        <v>127</v>
      </c>
      <c r="C17" s="8" t="s">
        <v>128</v>
      </c>
      <c r="D17" s="8" t="s">
        <v>129</v>
      </c>
      <c r="E17" s="39" t="n">
        <v>2</v>
      </c>
      <c r="F17" s="40"/>
      <c r="G17" s="40"/>
      <c r="H17" s="40"/>
      <c r="I17" s="14" t="n">
        <f aca="false">E17*F17</f>
        <v>0</v>
      </c>
      <c r="J17" s="14" t="n">
        <f aca="false">E17*G17</f>
        <v>0</v>
      </c>
      <c r="K17" s="14" t="n">
        <f aca="false">E17*H17</f>
        <v>0</v>
      </c>
      <c r="L17" s="14" t="n">
        <f aca="false">SUM(I17:K17)</f>
        <v>0</v>
      </c>
      <c r="M17" s="8" t="s">
        <v>130</v>
      </c>
    </row>
    <row r="18" customFormat="false" ht="15" hidden="false" customHeight="false" outlineLevel="0" collapsed="false">
      <c r="A18" s="7" t="s">
        <v>131</v>
      </c>
      <c r="B18" s="8" t="s">
        <v>132</v>
      </c>
      <c r="C18" s="8" t="s">
        <v>133</v>
      </c>
      <c r="D18" s="8" t="s">
        <v>129</v>
      </c>
      <c r="E18" s="39" t="n">
        <v>2</v>
      </c>
      <c r="F18" s="40"/>
      <c r="G18" s="40"/>
      <c r="H18" s="40"/>
      <c r="I18" s="14" t="n">
        <f aca="false">E18*F18</f>
        <v>0</v>
      </c>
      <c r="J18" s="14" t="n">
        <f aca="false">E18*G18</f>
        <v>0</v>
      </c>
      <c r="K18" s="14" t="n">
        <f aca="false">E18*H18</f>
        <v>0</v>
      </c>
      <c r="L18" s="14" t="n">
        <f aca="false">SUM(I18:K18)</f>
        <v>0</v>
      </c>
      <c r="M18" s="8"/>
    </row>
    <row r="19" customFormat="false" ht="15" hidden="false" customHeight="false" outlineLevel="0" collapsed="false">
      <c r="A19" s="7" t="s">
        <v>134</v>
      </c>
      <c r="B19" s="8" t="s">
        <v>135</v>
      </c>
      <c r="C19" s="8" t="s">
        <v>136</v>
      </c>
      <c r="D19" s="8" t="s">
        <v>137</v>
      </c>
      <c r="E19" s="39" t="n">
        <v>8</v>
      </c>
      <c r="F19" s="40"/>
      <c r="G19" s="40"/>
      <c r="H19" s="40"/>
      <c r="I19" s="14" t="n">
        <f aca="false">E19*F19</f>
        <v>0</v>
      </c>
      <c r="J19" s="14" t="n">
        <f aca="false">E19*G19</f>
        <v>0</v>
      </c>
      <c r="K19" s="14" t="n">
        <f aca="false">E19*H19</f>
        <v>0</v>
      </c>
      <c r="L19" s="14" t="n">
        <f aca="false">SUM(I19:K19)</f>
        <v>0</v>
      </c>
      <c r="M19" s="8"/>
    </row>
    <row r="20" customFormat="false" ht="15" hidden="false" customHeight="false" outlineLevel="0" collapsed="false">
      <c r="A20" s="7" t="s">
        <v>138</v>
      </c>
      <c r="B20" s="8" t="s">
        <v>139</v>
      </c>
      <c r="C20" s="8" t="s">
        <v>140</v>
      </c>
      <c r="D20" s="8" t="s">
        <v>91</v>
      </c>
      <c r="E20" s="39" t="n">
        <v>1</v>
      </c>
      <c r="F20" s="40"/>
      <c r="G20" s="40"/>
      <c r="H20" s="40"/>
      <c r="I20" s="14" t="n">
        <f aca="false">E20*F20</f>
        <v>0</v>
      </c>
      <c r="J20" s="14" t="n">
        <f aca="false">E20*G20</f>
        <v>0</v>
      </c>
      <c r="K20" s="14" t="n">
        <f aca="false">E20*H20</f>
        <v>0</v>
      </c>
      <c r="L20" s="14" t="n">
        <f aca="false">SUM(I20:K20)</f>
        <v>0</v>
      </c>
      <c r="M20" s="8"/>
    </row>
    <row r="21" customFormat="false" ht="15" hidden="false" customHeight="false" outlineLevel="0" collapsed="false">
      <c r="A21" s="7" t="s">
        <v>141</v>
      </c>
      <c r="B21" s="8" t="s">
        <v>142</v>
      </c>
      <c r="C21" s="7" t="s">
        <v>143</v>
      </c>
      <c r="D21" s="8" t="s">
        <v>91</v>
      </c>
      <c r="E21" s="39" t="n">
        <v>1</v>
      </c>
      <c r="F21" s="40"/>
      <c r="G21" s="40"/>
      <c r="H21" s="40"/>
      <c r="I21" s="14" t="n">
        <f aca="false">E21*F21</f>
        <v>0</v>
      </c>
      <c r="J21" s="14" t="n">
        <f aca="false">E21*G21</f>
        <v>0</v>
      </c>
      <c r="K21" s="14" t="n">
        <f aca="false">E21*H21</f>
        <v>0</v>
      </c>
      <c r="L21" s="14" t="n">
        <f aca="false">SUM(I21:K21)</f>
        <v>0</v>
      </c>
      <c r="M21" s="8" t="s">
        <v>104</v>
      </c>
    </row>
    <row r="22" customFormat="false" ht="15" hidden="false" customHeight="false" outlineLevel="0" collapsed="false">
      <c r="A22" s="7" t="s">
        <v>144</v>
      </c>
      <c r="B22" s="8" t="s">
        <v>145</v>
      </c>
      <c r="C22" s="8" t="s">
        <v>146</v>
      </c>
      <c r="D22" s="8" t="s">
        <v>91</v>
      </c>
      <c r="E22" s="39" t="n">
        <v>1</v>
      </c>
      <c r="F22" s="40"/>
      <c r="G22" s="40"/>
      <c r="H22" s="40"/>
      <c r="I22" s="14" t="n">
        <f aca="false">E22*F22</f>
        <v>0</v>
      </c>
      <c r="J22" s="14" t="n">
        <f aca="false">E22*G22</f>
        <v>0</v>
      </c>
      <c r="K22" s="14" t="n">
        <f aca="false">E22*H22</f>
        <v>0</v>
      </c>
      <c r="L22" s="14" t="n">
        <f aca="false">SUM(I22:K22)</f>
        <v>0</v>
      </c>
      <c r="M22" s="8"/>
    </row>
    <row r="23" customFormat="false" ht="15" hidden="false" customHeight="false" outlineLevel="0" collapsed="false">
      <c r="A23" s="36" t="s">
        <v>24</v>
      </c>
      <c r="B23" s="37" t="s">
        <v>147</v>
      </c>
      <c r="C23" s="37"/>
      <c r="D23" s="37"/>
      <c r="E23" s="37"/>
      <c r="F23" s="37"/>
      <c r="G23" s="37"/>
      <c r="H23" s="37"/>
      <c r="I23" s="38" t="n">
        <f aca="false">SUM(I24:I28)</f>
        <v>0</v>
      </c>
      <c r="J23" s="38" t="n">
        <f aca="false">SUM(J24:J28)</f>
        <v>0</v>
      </c>
      <c r="K23" s="38" t="n">
        <f aca="false">SUM(K24:K28)</f>
        <v>0</v>
      </c>
      <c r="L23" s="38" t="n">
        <f aca="false">SUM(L24:L28)</f>
        <v>0</v>
      </c>
      <c r="M23" s="37"/>
    </row>
    <row r="24" customFormat="false" ht="15" hidden="false" customHeight="false" outlineLevel="0" collapsed="false">
      <c r="A24" s="7" t="s">
        <v>148</v>
      </c>
      <c r="B24" s="8" t="s">
        <v>149</v>
      </c>
      <c r="C24" s="8" t="s">
        <v>150</v>
      </c>
      <c r="D24" s="8" t="s">
        <v>129</v>
      </c>
      <c r="E24" s="39" t="n">
        <v>2</v>
      </c>
      <c r="F24" s="40"/>
      <c r="G24" s="40"/>
      <c r="H24" s="40"/>
      <c r="I24" s="14" t="n">
        <f aca="false">E24*F24</f>
        <v>0</v>
      </c>
      <c r="J24" s="14" t="n">
        <f aca="false">E24*G24</f>
        <v>0</v>
      </c>
      <c r="K24" s="14" t="n">
        <f aca="false">E24*H24</f>
        <v>0</v>
      </c>
      <c r="L24" s="14" t="n">
        <f aca="false">SUM(I24:K24)</f>
        <v>0</v>
      </c>
      <c r="M24" s="8" t="s">
        <v>151</v>
      </c>
    </row>
    <row r="25" customFormat="false" ht="15" hidden="false" customHeight="false" outlineLevel="0" collapsed="false">
      <c r="A25" s="7" t="s">
        <v>152</v>
      </c>
      <c r="B25" s="8" t="s">
        <v>153</v>
      </c>
      <c r="C25" s="8" t="s">
        <v>154</v>
      </c>
      <c r="D25" s="8" t="s">
        <v>137</v>
      </c>
      <c r="E25" s="39" t="n">
        <v>6</v>
      </c>
      <c r="F25" s="40"/>
      <c r="G25" s="40"/>
      <c r="H25" s="40"/>
      <c r="I25" s="14" t="n">
        <f aca="false">E25*F25</f>
        <v>0</v>
      </c>
      <c r="J25" s="14" t="n">
        <f aca="false">E25*G25</f>
        <v>0</v>
      </c>
      <c r="K25" s="14" t="n">
        <f aca="false">E25*H25</f>
        <v>0</v>
      </c>
      <c r="L25" s="14" t="n">
        <f aca="false">SUM(I25:K25)</f>
        <v>0</v>
      </c>
      <c r="M25" s="8"/>
    </row>
    <row r="26" customFormat="false" ht="15" hidden="false" customHeight="false" outlineLevel="0" collapsed="false">
      <c r="A26" s="7" t="s">
        <v>155</v>
      </c>
      <c r="B26" s="8" t="s">
        <v>156</v>
      </c>
      <c r="C26" s="8" t="s">
        <v>157</v>
      </c>
      <c r="D26" s="7" t="s">
        <v>158</v>
      </c>
      <c r="E26" s="26" t="n">
        <v>10</v>
      </c>
      <c r="F26" s="40"/>
      <c r="G26" s="40"/>
      <c r="H26" s="40"/>
      <c r="I26" s="14" t="n">
        <f aca="false">E26*F26</f>
        <v>0</v>
      </c>
      <c r="J26" s="14" t="n">
        <f aca="false">E26*G26</f>
        <v>0</v>
      </c>
      <c r="K26" s="14" t="n">
        <f aca="false">E26*H26</f>
        <v>0</v>
      </c>
      <c r="L26" s="14" t="n">
        <f aca="false">SUM(I26:K26)</f>
        <v>0</v>
      </c>
      <c r="M26" s="8" t="s">
        <v>159</v>
      </c>
    </row>
    <row r="27" customFormat="false" ht="15" hidden="false" customHeight="false" outlineLevel="0" collapsed="false">
      <c r="A27" s="7" t="s">
        <v>160</v>
      </c>
      <c r="B27" s="8" t="s">
        <v>161</v>
      </c>
      <c r="C27" s="7" t="s">
        <v>162</v>
      </c>
      <c r="D27" s="8" t="s">
        <v>91</v>
      </c>
      <c r="E27" s="39" t="n">
        <v>1</v>
      </c>
      <c r="F27" s="40"/>
      <c r="G27" s="40"/>
      <c r="H27" s="40"/>
      <c r="I27" s="14" t="n">
        <f aca="false">E27*F27</f>
        <v>0</v>
      </c>
      <c r="J27" s="14" t="n">
        <f aca="false">E27*G27</f>
        <v>0</v>
      </c>
      <c r="K27" s="14" t="n">
        <f aca="false">E27*H27</f>
        <v>0</v>
      </c>
      <c r="L27" s="14" t="n">
        <f aca="false">SUM(I27:K27)</f>
        <v>0</v>
      </c>
      <c r="M27" s="8" t="s">
        <v>163</v>
      </c>
    </row>
    <row r="28" customFormat="false" ht="15" hidden="false" customHeight="false" outlineLevel="0" collapsed="false">
      <c r="A28" s="7" t="s">
        <v>164</v>
      </c>
      <c r="B28" s="8" t="s">
        <v>165</v>
      </c>
      <c r="C28" s="8" t="s">
        <v>166</v>
      </c>
      <c r="D28" s="8" t="s">
        <v>91</v>
      </c>
      <c r="E28" s="39" t="n">
        <v>1</v>
      </c>
      <c r="F28" s="40"/>
      <c r="G28" s="40"/>
      <c r="H28" s="40"/>
      <c r="I28" s="14" t="n">
        <f aca="false">E28*F28</f>
        <v>0</v>
      </c>
      <c r="J28" s="14" t="n">
        <f aca="false">E28*G28</f>
        <v>0</v>
      </c>
      <c r="K28" s="14" t="n">
        <f aca="false">E28*H28</f>
        <v>0</v>
      </c>
      <c r="L28" s="14" t="n">
        <f aca="false">SUM(I28:K28)</f>
        <v>0</v>
      </c>
      <c r="M28" s="8"/>
    </row>
    <row r="29" customFormat="false" ht="15" hidden="false" customHeight="false" outlineLevel="0" collapsed="false">
      <c r="A29" s="36" t="s">
        <v>26</v>
      </c>
      <c r="B29" s="37" t="s">
        <v>167</v>
      </c>
      <c r="C29" s="37"/>
      <c r="D29" s="37"/>
      <c r="E29" s="37"/>
      <c r="F29" s="37"/>
      <c r="G29" s="37"/>
      <c r="H29" s="37"/>
      <c r="I29" s="38" t="n">
        <f aca="false">SUM(I30:I32)</f>
        <v>0</v>
      </c>
      <c r="J29" s="38" t="n">
        <f aca="false">SUM(J30:J32)</f>
        <v>0</v>
      </c>
      <c r="K29" s="38" t="n">
        <f aca="false">SUM(K30:K32)</f>
        <v>0</v>
      </c>
      <c r="L29" s="38" t="n">
        <f aca="false">SUM(L30:L32)</f>
        <v>0</v>
      </c>
      <c r="M29" s="37"/>
    </row>
    <row r="30" customFormat="false" ht="15" hidden="false" customHeight="false" outlineLevel="0" collapsed="false">
      <c r="A30" s="7" t="s">
        <v>168</v>
      </c>
      <c r="B30" s="8" t="s">
        <v>169</v>
      </c>
      <c r="C30" s="8" t="s">
        <v>170</v>
      </c>
      <c r="D30" s="8" t="s">
        <v>137</v>
      </c>
      <c r="E30" s="39" t="n">
        <v>6</v>
      </c>
      <c r="F30" s="40"/>
      <c r="G30" s="40"/>
      <c r="H30" s="40"/>
      <c r="I30" s="14" t="n">
        <f aca="false">E30*F30</f>
        <v>0</v>
      </c>
      <c r="J30" s="14" t="n">
        <f aca="false">E30*G30</f>
        <v>0</v>
      </c>
      <c r="K30" s="14" t="n">
        <f aca="false">E30*H30</f>
        <v>0</v>
      </c>
      <c r="L30" s="14" t="n">
        <f aca="false">SUM(I30:K30)</f>
        <v>0</v>
      </c>
      <c r="M30" s="8"/>
    </row>
    <row r="31" customFormat="false" ht="15" hidden="false" customHeight="false" outlineLevel="0" collapsed="false">
      <c r="A31" s="7" t="s">
        <v>171</v>
      </c>
      <c r="B31" s="8" t="s">
        <v>172</v>
      </c>
      <c r="C31" s="8" t="s">
        <v>173</v>
      </c>
      <c r="D31" s="8" t="s">
        <v>91</v>
      </c>
      <c r="E31" s="39" t="n">
        <v>1</v>
      </c>
      <c r="F31" s="40"/>
      <c r="G31" s="40"/>
      <c r="H31" s="40"/>
      <c r="I31" s="14" t="n">
        <f aca="false">E31*F31</f>
        <v>0</v>
      </c>
      <c r="J31" s="14" t="n">
        <f aca="false">E31*G31</f>
        <v>0</v>
      </c>
      <c r="K31" s="14" t="n">
        <f aca="false">E31*H31</f>
        <v>0</v>
      </c>
      <c r="L31" s="14" t="n">
        <f aca="false">SUM(I31:K31)</f>
        <v>0</v>
      </c>
      <c r="M31" s="8" t="s">
        <v>174</v>
      </c>
    </row>
    <row r="32" customFormat="false" ht="15" hidden="false" customHeight="false" outlineLevel="0" collapsed="false">
      <c r="A32" s="7" t="s">
        <v>175</v>
      </c>
      <c r="B32" s="8" t="s">
        <v>176</v>
      </c>
      <c r="C32" s="8" t="s">
        <v>177</v>
      </c>
      <c r="D32" s="8" t="s">
        <v>91</v>
      </c>
      <c r="E32" s="39" t="n">
        <v>1</v>
      </c>
      <c r="F32" s="40"/>
      <c r="G32" s="40"/>
      <c r="H32" s="40"/>
      <c r="I32" s="14" t="n">
        <f aca="false">E32*F32</f>
        <v>0</v>
      </c>
      <c r="J32" s="14" t="n">
        <f aca="false">E32*G32</f>
        <v>0</v>
      </c>
      <c r="K32" s="14" t="n">
        <f aca="false">E32*H32</f>
        <v>0</v>
      </c>
      <c r="L32" s="14" t="n">
        <f aca="false">SUM(I32:K32)</f>
        <v>0</v>
      </c>
      <c r="M32" s="8"/>
    </row>
    <row r="33" customFormat="false" ht="15" hidden="false" customHeight="false" outlineLevel="0" collapsed="false">
      <c r="A33" s="16"/>
      <c r="B33" s="16" t="s">
        <v>28</v>
      </c>
      <c r="C33" s="16"/>
      <c r="D33" s="16"/>
      <c r="E33" s="16"/>
      <c r="F33" s="16"/>
      <c r="G33" s="16"/>
      <c r="H33" s="16"/>
      <c r="I33" s="17" t="n">
        <f aca="false">I5+I10+I16+I23+I29</f>
        <v>0</v>
      </c>
      <c r="J33" s="17" t="n">
        <f aca="false">J5+J10+J16+J23+J29</f>
        <v>0</v>
      </c>
      <c r="K33" s="17" t="n">
        <f aca="false">K5+K10+K16+K23+K29</f>
        <v>0</v>
      </c>
      <c r="L33" s="17" t="n">
        <f aca="false">L5+L10+L16+L23+L29</f>
        <v>0</v>
      </c>
      <c r="M3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2026-10-12T14:27:34Z</dcterms:created>
  <dc:creator>openpyxl</dc:creator>
  <dc:description/>
  <dc:language>en-US</dc:language>
  <cp:lastModifiedBy/>
  <dcterms:modified xsi:type="dcterms:W3CDTF">2026-10-12T14:27:34Z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