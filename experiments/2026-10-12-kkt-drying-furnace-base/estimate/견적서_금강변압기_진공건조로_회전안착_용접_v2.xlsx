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" sheetId="1" state="visible" r:id="rId3"/>
    <sheet name="도비" sheetId="2" state="visible" r:id="rId4"/>
    <sheet name="용접" sheetId="3" state="visible" r:id="rId5"/>
    <sheet name="베이스" sheetId="4" state="visible" r:id="rId6"/>
    <sheet name="공정표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<sst xmlns="http://schemas.openxmlformats.org/spreadsheetml/2006/main" count="247" uniqueCount="136">
  <si>
    <t xml:space="preserve">견      적      서</t>
  </si>
  <si>
    <t xml:space="preserve"> 금강변압기 귀하</t>
  </si>
  <si>
    <t xml:space="preserve">엔엠솔루션</t>
  </si>
  <si>
    <r>
      <rPr>
        <sz val="11"/>
        <color rgb="FF000000"/>
        <rFont val="WenQuanYi Zen Hei"/>
        <family val="2"/>
      </rPr>
      <t xml:space="preserve">   담당자 </t>
    </r>
    <r>
      <rPr>
        <sz val="11"/>
        <color rgb="FF000000"/>
        <rFont val="맑은 고딕"/>
        <family val="0"/>
        <charset val="1"/>
      </rPr>
      <t xml:space="preserve">:</t>
    </r>
  </si>
  <si>
    <r>
      <rPr>
        <sz val="11"/>
        <color rgb="FF000000"/>
        <rFont val="WenQuanYi Zen Hei"/>
        <family val="2"/>
      </rPr>
      <t xml:space="preserve">대표 </t>
    </r>
    <r>
      <rPr>
        <sz val="11"/>
        <color rgb="FF000000"/>
        <rFont val="맑은 고딕"/>
        <family val="0"/>
        <charset val="1"/>
      </rPr>
      <t xml:space="preserve">/ </t>
    </r>
    <r>
      <rPr>
        <sz val="11"/>
        <color rgb="FF000000"/>
        <rFont val="WenQuanYi Zen Hei"/>
        <family val="2"/>
      </rPr>
      <t xml:space="preserve">연락처 </t>
    </r>
    <r>
      <rPr>
        <sz val="11"/>
        <color rgb="FF000000"/>
        <rFont val="맑은 고딕"/>
        <family val="0"/>
        <charset val="1"/>
      </rPr>
      <t xml:space="preserve">:</t>
    </r>
  </si>
  <si>
    <r>
      <rPr>
        <sz val="11"/>
        <color rgb="FF000000"/>
        <rFont val="WenQuanYi Zen Hei"/>
        <family val="2"/>
      </rPr>
      <t xml:space="preserve">   견적일 </t>
    </r>
    <r>
      <rPr>
        <sz val="11"/>
        <color rgb="FF000000"/>
        <rFont val="맑은 고딕"/>
        <family val="0"/>
        <charset val="1"/>
      </rPr>
      <t xml:space="preserve">: 2026-10-12</t>
    </r>
  </si>
  <si>
    <r>
      <rPr>
        <b val="true"/>
        <sz val="12"/>
        <color rgb="FF000000"/>
        <rFont val="WenQuanYi Zen Hei"/>
        <family val="2"/>
      </rPr>
      <t xml:space="preserve">  작업 내용</t>
    </r>
    <r>
      <rPr>
        <b val="true"/>
        <sz val="12"/>
        <color rgb="FF000000"/>
        <rFont val="맑은 고딕"/>
        <family val="0"/>
        <charset val="1"/>
      </rPr>
      <t xml:space="preserve">: </t>
    </r>
    <r>
      <rPr>
        <b val="true"/>
        <sz val="12"/>
        <color rgb="FF000000"/>
        <rFont val="WenQuanYi Zen Hei"/>
        <family val="2"/>
      </rPr>
      <t xml:space="preserve">금강변압기 마당 진공건조로 </t>
    </r>
    <r>
      <rPr>
        <b val="true"/>
        <sz val="12"/>
        <color rgb="FF000000"/>
        <rFont val="맑은 고딕"/>
        <family val="0"/>
        <charset val="1"/>
      </rPr>
      <t xml:space="preserve">2</t>
    </r>
    <r>
      <rPr>
        <b val="true"/>
        <sz val="12"/>
        <color rgb="FF000000"/>
        <rFont val="WenQuanYi Zen Hei"/>
        <family val="2"/>
      </rPr>
      <t xml:space="preserve">분할체</t>
    </r>
    <r>
      <rPr>
        <b val="true"/>
        <sz val="12"/>
        <color rgb="FF000000"/>
        <rFont val="맑은 고딕"/>
        <family val="0"/>
        <charset val="1"/>
      </rPr>
      <t xml:space="preserve">(35TON </t>
    </r>
    <r>
      <rPr>
        <b val="true"/>
        <sz val="12"/>
        <color rgb="FF000000"/>
        <rFont val="WenQuanYi Zen Hei"/>
        <family val="2"/>
      </rPr>
      <t xml:space="preserve">개구부 측</t>
    </r>
    <r>
      <rPr>
        <b val="true"/>
        <sz val="12"/>
        <color rgb="FF000000"/>
        <rFont val="맑은 고딕"/>
        <family val="0"/>
        <charset val="1"/>
      </rPr>
      <t xml:space="preserve">, 48TON) </t>
    </r>
    <r>
      <rPr>
        <b val="true"/>
        <sz val="12"/>
        <color rgb="FF000000"/>
        <rFont val="WenQuanYi Zen Hei"/>
        <family val="2"/>
      </rPr>
      <t xml:space="preserve">회전</t>
    </r>
    <r>
      <rPr>
        <b val="true"/>
        <sz val="12"/>
        <color rgb="FF000000"/>
        <rFont val="맑은 고딕"/>
        <family val="0"/>
        <charset val="1"/>
      </rPr>
      <t xml:space="preserve">·</t>
    </r>
    <r>
      <rPr>
        <b val="true"/>
        <sz val="12"/>
        <color rgb="FF000000"/>
        <rFont val="WenQuanYi Zen Hei"/>
        <family val="2"/>
      </rPr>
      <t xml:space="preserve">안착</t>
    </r>
    <r>
      <rPr>
        <b val="true"/>
        <sz val="12"/>
        <color rgb="FF000000"/>
        <rFont val="맑은 고딕"/>
        <family val="0"/>
        <charset val="1"/>
      </rPr>
      <t xml:space="preserve">, </t>
    </r>
    <r>
      <rPr>
        <b val="true"/>
        <sz val="12"/>
        <color rgb="FF000000"/>
        <rFont val="WenQuanYi Zen Hei"/>
        <family val="2"/>
      </rPr>
      <t xml:space="preserve">베이스 제작</t>
    </r>
    <r>
      <rPr>
        <b val="true"/>
        <sz val="12"/>
        <color rgb="FF000000"/>
        <rFont val="맑은 고딕"/>
        <family val="0"/>
        <charset val="1"/>
      </rPr>
      <t xml:space="preserve">, </t>
    </r>
    <r>
      <rPr>
        <b val="true"/>
        <sz val="12"/>
        <color rgb="FF000000"/>
        <rFont val="WenQuanYi Zen Hei"/>
        <family val="2"/>
      </rPr>
      <t xml:space="preserve">접합부 사상</t>
    </r>
    <r>
      <rPr>
        <b val="true"/>
        <sz val="12"/>
        <color rgb="FF000000"/>
        <rFont val="맑은 고딕"/>
        <family val="0"/>
        <charset val="1"/>
      </rPr>
      <t xml:space="preserve">·</t>
    </r>
    <r>
      <rPr>
        <b val="true"/>
        <sz val="12"/>
        <color rgb="FF000000"/>
        <rFont val="WenQuanYi Zen Hei"/>
        <family val="2"/>
      </rPr>
      <t xml:space="preserve">용접</t>
    </r>
  </si>
  <si>
    <r>
      <rPr>
        <sz val="10"/>
        <color rgb="FF555555"/>
        <rFont val="WenQuanYi Zen Hei"/>
        <family val="2"/>
      </rPr>
      <t xml:space="preserve">  공기</t>
    </r>
    <r>
      <rPr>
        <sz val="10"/>
        <color rgb="FF555555"/>
        <rFont val="맑은 고딕"/>
        <family val="0"/>
        <charset val="1"/>
      </rPr>
      <t xml:space="preserve">: </t>
    </r>
    <r>
      <rPr>
        <sz val="10"/>
        <color rgb="FF555555"/>
        <rFont val="WenQuanYi Zen Hei"/>
        <family val="2"/>
      </rPr>
      <t xml:space="preserve">총 </t>
    </r>
    <r>
      <rPr>
        <sz val="10"/>
        <color rgb="FF555555"/>
        <rFont val="맑은 고딕"/>
        <family val="0"/>
        <charset val="1"/>
      </rPr>
      <t xml:space="preserve">11</t>
    </r>
    <r>
      <rPr>
        <sz val="10"/>
        <color rgb="FF555555"/>
        <rFont val="WenQuanYi Zen Hei"/>
        <family val="2"/>
      </rPr>
      <t xml:space="preserve">일 </t>
    </r>
    <r>
      <rPr>
        <sz val="10"/>
        <color rgb="FF555555"/>
        <rFont val="맑은 고딕"/>
        <family val="0"/>
        <charset val="1"/>
      </rPr>
      <t xml:space="preserve">(</t>
    </r>
    <r>
      <rPr>
        <sz val="10"/>
        <color rgb="FF555555"/>
        <rFont val="WenQuanYi Zen Hei"/>
        <family val="2"/>
      </rPr>
      <t xml:space="preserve">베이스 </t>
    </r>
    <r>
      <rPr>
        <sz val="10"/>
        <color rgb="FF555555"/>
        <rFont val="맑은 고딕"/>
        <family val="0"/>
        <charset val="1"/>
      </rPr>
      <t xml:space="preserve">3</t>
    </r>
    <r>
      <rPr>
        <sz val="10"/>
        <color rgb="FF555555"/>
        <rFont val="WenQuanYi Zen Hei"/>
        <family val="2"/>
      </rPr>
      <t xml:space="preserve">일 → 안착 </t>
    </r>
    <r>
      <rPr>
        <sz val="10"/>
        <color rgb="FF555555"/>
        <rFont val="맑은 고딕"/>
        <family val="0"/>
        <charset val="1"/>
      </rPr>
      <t xml:space="preserve">1</t>
    </r>
    <r>
      <rPr>
        <sz val="10"/>
        <color rgb="FF555555"/>
        <rFont val="WenQuanYi Zen Hei"/>
        <family val="2"/>
      </rPr>
      <t xml:space="preserve">일 → 사상 </t>
    </r>
    <r>
      <rPr>
        <sz val="10"/>
        <color rgb="FF555555"/>
        <rFont val="맑은 고딕"/>
        <family val="0"/>
        <charset val="1"/>
      </rPr>
      <t xml:space="preserve">2</t>
    </r>
    <r>
      <rPr>
        <sz val="10"/>
        <color rgb="FF555555"/>
        <rFont val="WenQuanYi Zen Hei"/>
        <family val="2"/>
      </rPr>
      <t xml:space="preserve">일 → 밀착 이동 </t>
    </r>
    <r>
      <rPr>
        <sz val="10"/>
        <color rgb="FF555555"/>
        <rFont val="맑은 고딕"/>
        <family val="0"/>
        <charset val="1"/>
      </rPr>
      <t xml:space="preserve">2</t>
    </r>
    <r>
      <rPr>
        <sz val="10"/>
        <color rgb="FF555555"/>
        <rFont val="WenQuanYi Zen Hei"/>
        <family val="2"/>
      </rPr>
      <t xml:space="preserve">일 → 용접 </t>
    </r>
    <r>
      <rPr>
        <sz val="10"/>
        <color rgb="FF555555"/>
        <rFont val="맑은 고딕"/>
        <family val="0"/>
        <charset val="1"/>
      </rPr>
      <t xml:space="preserve">3</t>
    </r>
    <r>
      <rPr>
        <sz val="10"/>
        <color rgb="FF555555"/>
        <rFont val="WenQuanYi Zen Hei"/>
        <family val="2"/>
      </rPr>
      <t xml:space="preserve">일</t>
    </r>
    <r>
      <rPr>
        <sz val="10"/>
        <color rgb="FF555555"/>
        <rFont val="맑은 고딕"/>
        <family val="0"/>
        <charset val="1"/>
      </rPr>
      <t xml:space="preserve">)</t>
    </r>
  </si>
  <si>
    <t xml:space="preserve">구분</t>
  </si>
  <si>
    <t xml:space="preserve">규격</t>
  </si>
  <si>
    <t xml:space="preserve">단위</t>
  </si>
  <si>
    <t xml:space="preserve">수량</t>
  </si>
  <si>
    <t xml:space="preserve">단가</t>
  </si>
  <si>
    <t xml:space="preserve">금액</t>
  </si>
  <si>
    <t xml:space="preserve">비고</t>
  </si>
  <si>
    <r>
      <rPr>
        <sz val="11"/>
        <color rgb="FF000000"/>
        <rFont val="맑은 고딕"/>
        <family val="0"/>
        <charset val="1"/>
      </rPr>
      <t xml:space="preserve">1. </t>
    </r>
    <r>
      <rPr>
        <sz val="11"/>
        <color rgb="FF000000"/>
        <rFont val="WenQuanYi Zen Hei"/>
        <family val="2"/>
      </rPr>
      <t xml:space="preserve">도비 작업</t>
    </r>
  </si>
  <si>
    <r>
      <rPr>
        <sz val="11"/>
        <color rgb="FF000000"/>
        <rFont val="WenQuanYi Zen Hei"/>
        <family val="2"/>
      </rPr>
      <t xml:space="preserve">회전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안착</t>
    </r>
    <r>
      <rPr>
        <sz val="11"/>
        <color rgb="FF000000"/>
        <rFont val="맑은 고딕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밀착 이동</t>
    </r>
  </si>
  <si>
    <t xml:space="preserve">식</t>
  </si>
  <si>
    <r>
      <rPr>
        <sz val="11"/>
        <color rgb="FF000000"/>
        <rFont val="맑은 고딕"/>
        <family val="0"/>
        <charset val="1"/>
      </rPr>
      <t xml:space="preserve">'</t>
    </r>
    <r>
      <rPr>
        <sz val="11"/>
        <color rgb="FF000000"/>
        <rFont val="WenQuanYi Zen Hei"/>
        <family val="2"/>
      </rPr>
      <t xml:space="preserve">도비</t>
    </r>
    <r>
      <rPr>
        <sz val="11"/>
        <color rgb="FF000000"/>
        <rFont val="맑은 고딕"/>
        <family val="0"/>
        <charset val="1"/>
      </rPr>
      <t xml:space="preserve">' </t>
    </r>
    <r>
      <rPr>
        <sz val="11"/>
        <color rgb="FF000000"/>
        <rFont val="WenQuanYi Zen Hei"/>
        <family val="2"/>
      </rPr>
      <t xml:space="preserve">시트 참조</t>
    </r>
  </si>
  <si>
    <r>
      <rPr>
        <sz val="11"/>
        <color rgb="FF000000"/>
        <rFont val="맑은 고딕"/>
        <family val="0"/>
        <charset val="1"/>
      </rPr>
      <t xml:space="preserve">2. </t>
    </r>
    <r>
      <rPr>
        <sz val="11"/>
        <color rgb="FF000000"/>
        <rFont val="WenQuanYi Zen Hei"/>
        <family val="2"/>
      </rPr>
      <t xml:space="preserve">용접 작업</t>
    </r>
  </si>
  <si>
    <r>
      <rPr>
        <sz val="11"/>
        <color rgb="FF000000"/>
        <rFont val="WenQuanYi Zen Hei"/>
        <family val="2"/>
      </rPr>
      <t xml:space="preserve">사상</t>
    </r>
    <r>
      <rPr>
        <sz val="11"/>
        <color rgb="FF000000"/>
        <rFont val="맑은 고딕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접합부 용접</t>
    </r>
    <r>
      <rPr>
        <sz val="11"/>
        <color rgb="FF000000"/>
        <rFont val="맑은 고딕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검사</t>
    </r>
  </si>
  <si>
    <r>
      <rPr>
        <sz val="11"/>
        <color rgb="FF000000"/>
        <rFont val="맑은 고딕"/>
        <family val="0"/>
        <charset val="1"/>
      </rPr>
      <t xml:space="preserve">'</t>
    </r>
    <r>
      <rPr>
        <sz val="11"/>
        <color rgb="FF000000"/>
        <rFont val="WenQuanYi Zen Hei"/>
        <family val="2"/>
      </rPr>
      <t xml:space="preserve">용접</t>
    </r>
    <r>
      <rPr>
        <sz val="11"/>
        <color rgb="FF000000"/>
        <rFont val="맑은 고딕"/>
        <family val="0"/>
        <charset val="1"/>
      </rPr>
      <t xml:space="preserve">' </t>
    </r>
    <r>
      <rPr>
        <sz val="11"/>
        <color rgb="FF000000"/>
        <rFont val="WenQuanYi Zen Hei"/>
        <family val="2"/>
      </rPr>
      <t xml:space="preserve">시트 참조</t>
    </r>
  </si>
  <si>
    <r>
      <rPr>
        <sz val="11"/>
        <color rgb="FF000000"/>
        <rFont val="맑은 고딕"/>
        <family val="0"/>
        <charset val="1"/>
      </rPr>
      <t xml:space="preserve">3. </t>
    </r>
    <r>
      <rPr>
        <sz val="11"/>
        <color rgb="FF000000"/>
        <rFont val="WenQuanYi Zen Hei"/>
        <family val="2"/>
      </rPr>
      <t xml:space="preserve">베이스 작업</t>
    </r>
  </si>
  <si>
    <r>
      <rPr>
        <sz val="11"/>
        <color rgb="FF000000"/>
        <rFont val="WenQuanYi Zen Hei"/>
        <family val="2"/>
      </rPr>
      <t xml:space="preserve">사다리형 일체 베이스 제작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설치</t>
    </r>
  </si>
  <si>
    <r>
      <rPr>
        <sz val="11"/>
        <color rgb="FF000000"/>
        <rFont val="맑은 고딕"/>
        <family val="0"/>
        <charset val="1"/>
      </rPr>
      <t xml:space="preserve">'</t>
    </r>
    <r>
      <rPr>
        <sz val="11"/>
        <color rgb="FF000000"/>
        <rFont val="WenQuanYi Zen Hei"/>
        <family val="2"/>
      </rPr>
      <t xml:space="preserve">베이스</t>
    </r>
    <r>
      <rPr>
        <sz val="11"/>
        <color rgb="FF000000"/>
        <rFont val="맑은 고딕"/>
        <family val="0"/>
        <charset val="1"/>
      </rPr>
      <t xml:space="preserve">' </t>
    </r>
    <r>
      <rPr>
        <sz val="11"/>
        <color rgb="FF000000"/>
        <rFont val="WenQuanYi Zen Hei"/>
        <family val="2"/>
      </rPr>
      <t xml:space="preserve">시트 참조</t>
    </r>
  </si>
  <si>
    <t xml:space="preserve">공 급 가 액</t>
  </si>
  <si>
    <r>
      <rPr>
        <b val="true"/>
        <sz val="11"/>
        <color rgb="FF000000"/>
        <rFont val="맑은 고딕"/>
        <family val="0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부가세 별도</t>
    </r>
    <r>
      <rPr>
        <b val="true"/>
        <sz val="11"/>
        <color rgb="FF000000"/>
        <rFont val="맑은 고딕"/>
        <family val="0"/>
        <charset val="1"/>
      </rPr>
      <t xml:space="preserve">)</t>
    </r>
  </si>
  <si>
    <r>
      <rPr>
        <b val="true"/>
        <sz val="11"/>
        <color rgb="FF000000"/>
        <rFont val="WenQuanYi Zen Hei"/>
        <family val="2"/>
      </rPr>
      <t xml:space="preserve">부 가 세 </t>
    </r>
    <r>
      <rPr>
        <b val="true"/>
        <sz val="11"/>
        <color rgb="FF000000"/>
        <rFont val="맑은 고딕"/>
        <family val="0"/>
        <charset val="1"/>
      </rPr>
      <t xml:space="preserve">(10%)</t>
    </r>
  </si>
  <si>
    <t xml:space="preserve">합                             계</t>
  </si>
  <si>
    <r>
      <rPr>
        <b val="true"/>
        <sz val="11"/>
        <color rgb="FF000000"/>
        <rFont val="맑은 고딕"/>
        <family val="0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부가세 포함</t>
    </r>
    <r>
      <rPr>
        <b val="true"/>
        <sz val="11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</si>
  <si>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* </t>
    </r>
    <r>
      <rPr>
        <sz val="10"/>
        <color rgb="FF000000"/>
        <rFont val="WenQuanYi Zen Hei"/>
        <family val="2"/>
      </rPr>
      <t xml:space="preserve">전기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배관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닥트 해체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복구 및 시운전은 별도입니다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</si>
  <si>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* 1</t>
    </r>
    <r>
      <rPr>
        <sz val="10"/>
        <color rgb="FF000000"/>
        <rFont val="WenQuanYi Zen Hei"/>
        <family val="2"/>
      </rPr>
      <t xml:space="preserve">일 근무시간 </t>
    </r>
    <r>
      <rPr>
        <sz val="10"/>
        <color rgb="FF000000"/>
        <rFont val="맑은 고딕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시간 기준이며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오버타임 발생 시 추가 금액이 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</si>
  <si>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* </t>
    </r>
    <r>
      <rPr>
        <sz val="10"/>
        <color rgb="FF000000"/>
        <rFont val="WenQuanYi Zen Hei"/>
        <family val="2"/>
      </rPr>
      <t xml:space="preserve">크레인 사양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위치는 인양계획서와 구조검토 확정 후 조정될 수 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</si>
  <si>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* </t>
    </r>
    <r>
      <rPr>
        <sz val="10"/>
        <color rgb="FF000000"/>
        <rFont val="WenQuanYi Zen Hei"/>
        <family val="2"/>
      </rPr>
      <t xml:space="preserve">베이스 강재는 개략 산출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약 </t>
    </r>
    <r>
      <rPr>
        <sz val="10"/>
        <color rgb="FF000000"/>
        <rFont val="맑은 고딕"/>
        <family val="0"/>
        <charset val="1"/>
      </rPr>
      <t xml:space="preserve">3.2</t>
    </r>
    <r>
      <rPr>
        <sz val="10"/>
        <color rgb="FF000000"/>
        <rFont val="WenQuanYi Zen Hei"/>
        <family val="2"/>
      </rPr>
      <t xml:space="preserve">톤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이며 구조검토 결과에 따라 변경될 수 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</si>
  <si>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* </t>
    </r>
    <r>
      <rPr>
        <sz val="10"/>
        <color rgb="FF000000"/>
        <rFont val="WenQuanYi Zen Hei"/>
        <family val="2"/>
      </rPr>
      <t xml:space="preserve">접합부 용접 길이와 비파괴검사 범위는 발주처 확인 후 정산합니다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</si>
  <si>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2"/>
        <color rgb="FF000000"/>
        <rFont val="WenQuanYi Zen Hei"/>
        <family val="2"/>
      </rPr>
      <t xml:space="preserve">  작업 내용</t>
    </r>
    <r>
      <rPr>
        <b val="true"/>
        <sz val="12"/>
        <color rgb="FF000000"/>
        <rFont val="맑은 고딕"/>
        <family val="0"/>
        <charset val="1"/>
      </rPr>
      <t xml:space="preserve">: </t>
    </r>
    <r>
      <rPr>
        <b val="true"/>
        <sz val="12"/>
        <color rgb="FF000000"/>
        <rFont val="WenQuanYi Zen Hei"/>
        <family val="2"/>
      </rPr>
      <t xml:space="preserve">진공건조로 </t>
    </r>
    <r>
      <rPr>
        <b val="true"/>
        <sz val="12"/>
        <color rgb="FF000000"/>
        <rFont val="맑은 고딕"/>
        <family val="0"/>
        <charset val="1"/>
      </rPr>
      <t xml:space="preserve">2</t>
    </r>
    <r>
      <rPr>
        <b val="true"/>
        <sz val="12"/>
        <color rgb="FF000000"/>
        <rFont val="WenQuanYi Zen Hei"/>
        <family val="2"/>
      </rPr>
      <t xml:space="preserve">기 회전</t>
    </r>
    <r>
      <rPr>
        <b val="true"/>
        <sz val="12"/>
        <color rgb="FF000000"/>
        <rFont val="맑은 고딕"/>
        <family val="0"/>
        <charset val="1"/>
      </rPr>
      <t xml:space="preserve">·</t>
    </r>
    <r>
      <rPr>
        <b val="true"/>
        <sz val="12"/>
        <color rgb="FF000000"/>
        <rFont val="WenQuanYi Zen Hei"/>
        <family val="2"/>
      </rPr>
      <t xml:space="preserve">베이스 안착</t>
    </r>
    <r>
      <rPr>
        <b val="true"/>
        <sz val="12"/>
        <color rgb="FF000000"/>
        <rFont val="맑은 고딕"/>
        <family val="0"/>
        <charset val="1"/>
      </rPr>
      <t xml:space="preserve">(1</t>
    </r>
    <r>
      <rPr>
        <b val="true"/>
        <sz val="12"/>
        <color rgb="FF000000"/>
        <rFont val="WenQuanYi Zen Hei"/>
        <family val="2"/>
      </rPr>
      <t xml:space="preserve">일</t>
    </r>
    <r>
      <rPr>
        <b val="true"/>
        <sz val="12"/>
        <color rgb="FF000000"/>
        <rFont val="맑은 고딕"/>
        <family val="0"/>
        <charset val="1"/>
      </rPr>
      <t xml:space="preserve">) </t>
    </r>
    <r>
      <rPr>
        <b val="true"/>
        <sz val="12"/>
        <color rgb="FF000000"/>
        <rFont val="WenQuanYi Zen Hei"/>
        <family val="2"/>
      </rPr>
      <t xml:space="preserve">및 용접면 밀착 이동</t>
    </r>
    <r>
      <rPr>
        <b val="true"/>
        <sz val="12"/>
        <color rgb="FF000000"/>
        <rFont val="맑은 고딕"/>
        <family val="0"/>
        <charset val="1"/>
      </rPr>
      <t xml:space="preserve">(2</t>
    </r>
    <r>
      <rPr>
        <b val="true"/>
        <sz val="12"/>
        <color rgb="FF000000"/>
        <rFont val="WenQuanYi Zen Hei"/>
        <family val="2"/>
      </rPr>
      <t xml:space="preserve">일</t>
    </r>
    <r>
      <rPr>
        <b val="true"/>
        <sz val="12"/>
        <color rgb="FF000000"/>
        <rFont val="맑은 고딕"/>
        <family val="0"/>
        <charset val="1"/>
      </rPr>
      <t xml:space="preserve">)</t>
    </r>
  </si>
  <si>
    <t xml:space="preserve">기계작업</t>
  </si>
  <si>
    <t xml:space="preserve">인건비</t>
  </si>
  <si>
    <t xml:space="preserve">도비 전문기공</t>
  </si>
  <si>
    <t xml:space="preserve">M</t>
  </si>
  <si>
    <r>
      <rPr>
        <sz val="11"/>
        <color rgb="FF000000"/>
        <rFont val="맑은 고딕"/>
        <family val="0"/>
        <charset val="1"/>
      </rPr>
      <t xml:space="preserve">7</t>
    </r>
    <r>
      <rPr>
        <sz val="11"/>
        <color rgb="FF000000"/>
        <rFont val="WenQuanYi Zen Hei"/>
        <family val="2"/>
      </rPr>
      <t xml:space="preserve">명 </t>
    </r>
    <r>
      <rPr>
        <sz val="11"/>
        <color rgb="FF000000"/>
        <rFont val="맑은 고딕"/>
        <family val="0"/>
        <charset val="1"/>
      </rPr>
      <t xml:space="preserve">× 3</t>
    </r>
    <r>
      <rPr>
        <sz val="11"/>
        <color rgb="FF000000"/>
        <rFont val="WenQuanYi Zen Hei"/>
        <family val="2"/>
      </rPr>
      <t xml:space="preserve">일 </t>
    </r>
    <r>
      <rPr>
        <sz val="11"/>
        <color rgb="FF000000"/>
        <rFont val="맑은 고딕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안착 </t>
    </r>
    <r>
      <rPr>
        <sz val="11"/>
        <color rgb="FF000000"/>
        <rFont val="맑은 고딕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일 </t>
    </r>
    <r>
      <rPr>
        <sz val="11"/>
        <color rgb="FF000000"/>
        <rFont val="맑은 고딕"/>
        <family val="0"/>
        <charset val="1"/>
      </rPr>
      <t xml:space="preserve">+ </t>
    </r>
    <r>
      <rPr>
        <sz val="11"/>
        <color rgb="FF000000"/>
        <rFont val="WenQuanYi Zen Hei"/>
        <family val="2"/>
      </rPr>
      <t xml:space="preserve">밀착 이동 </t>
    </r>
    <r>
      <rPr>
        <sz val="11"/>
        <color rgb="FF000000"/>
        <rFont val="맑은 고딕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일</t>
    </r>
    <r>
      <rPr>
        <sz val="11"/>
        <color rgb="FF000000"/>
        <rFont val="맑은 고딕"/>
        <family val="0"/>
        <charset val="1"/>
      </rPr>
      <t xml:space="preserve">)</t>
    </r>
  </si>
  <si>
    <t xml:space="preserve">안전관리자</t>
  </si>
  <si>
    <r>
      <rPr>
        <sz val="11"/>
        <color rgb="FF000000"/>
        <rFont val="맑은 고딕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일</t>
    </r>
  </si>
  <si>
    <t xml:space="preserve">크 레 인</t>
  </si>
  <si>
    <t xml:space="preserve">100TON</t>
  </si>
  <si>
    <t xml:space="preserve">대</t>
  </si>
  <si>
    <r>
      <rPr>
        <sz val="11"/>
        <color rgb="FF000000"/>
        <rFont val="WenQuanYi Zen Hei"/>
        <family val="2"/>
      </rPr>
      <t xml:space="preserve">베이스 안착일 </t>
    </r>
    <r>
      <rPr>
        <sz val="11"/>
        <color rgb="FF000000"/>
        <rFont val="맑은 고딕"/>
        <family val="0"/>
        <charset val="1"/>
      </rPr>
      <t xml:space="preserve">(1</t>
    </r>
    <r>
      <rPr>
        <sz val="11"/>
        <color rgb="FF000000"/>
        <rFont val="WenQuanYi Zen Hei"/>
        <family val="2"/>
      </rPr>
      <t xml:space="preserve">일</t>
    </r>
    <r>
      <rPr>
        <sz val="11"/>
        <color rgb="FF000000"/>
        <rFont val="맑은 고딕"/>
        <family val="0"/>
        <charset val="1"/>
      </rPr>
      <t xml:space="preserve">), </t>
    </r>
    <r>
      <rPr>
        <sz val="11"/>
        <color rgb="FF000000"/>
        <rFont val="WenQuanYi Zen Hei"/>
        <family val="2"/>
      </rPr>
      <t xml:space="preserve">일 </t>
    </r>
    <r>
      <rPr>
        <sz val="11"/>
        <color rgb="FF000000"/>
        <rFont val="맑은 고딕"/>
        <family val="0"/>
        <charset val="1"/>
      </rPr>
      <t xml:space="preserve">240</t>
    </r>
    <r>
      <rPr>
        <sz val="11"/>
        <color rgb="FF000000"/>
        <rFont val="WenQuanYi Zen Hei"/>
        <family val="2"/>
      </rPr>
      <t xml:space="preserve">만 원</t>
    </r>
  </si>
  <si>
    <t xml:space="preserve">60TON</t>
  </si>
  <si>
    <r>
      <rPr>
        <sz val="11"/>
        <color rgb="FF000000"/>
        <rFont val="WenQuanYi Zen Hei"/>
        <family val="2"/>
      </rPr>
      <t xml:space="preserve">베이스 안착일 </t>
    </r>
    <r>
      <rPr>
        <sz val="11"/>
        <color rgb="FF000000"/>
        <rFont val="맑은 고딕"/>
        <family val="0"/>
        <charset val="1"/>
      </rPr>
      <t xml:space="preserve">(1</t>
    </r>
    <r>
      <rPr>
        <sz val="11"/>
        <color rgb="FF000000"/>
        <rFont val="WenQuanYi Zen Hei"/>
        <family val="2"/>
      </rPr>
      <t xml:space="preserve">일</t>
    </r>
    <r>
      <rPr>
        <sz val="11"/>
        <color rgb="FF000000"/>
        <rFont val="맑은 고딕"/>
        <family val="0"/>
        <charset val="1"/>
      </rPr>
      <t xml:space="preserve">), </t>
    </r>
    <r>
      <rPr>
        <sz val="11"/>
        <color rgb="FF000000"/>
        <rFont val="WenQuanYi Zen Hei"/>
        <family val="2"/>
      </rPr>
      <t xml:space="preserve">일 </t>
    </r>
    <r>
      <rPr>
        <sz val="11"/>
        <color rgb="FF000000"/>
        <rFont val="맑은 고딕"/>
        <family val="0"/>
        <charset val="1"/>
      </rPr>
      <t xml:space="preserve">170</t>
    </r>
    <r>
      <rPr>
        <sz val="11"/>
        <color rgb="FF000000"/>
        <rFont val="WenQuanYi Zen Hei"/>
        <family val="2"/>
      </rPr>
      <t xml:space="preserve">만 원</t>
    </r>
  </si>
  <si>
    <t xml:space="preserve">밀착 장비</t>
  </si>
  <si>
    <r>
      <rPr>
        <sz val="11"/>
        <color rgb="FF000000"/>
        <rFont val="WenQuanYi Zen Hei"/>
        <family val="2"/>
      </rPr>
      <t xml:space="preserve">유압잭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윈치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스키드</t>
    </r>
  </si>
  <si>
    <t xml:space="preserve">SET</t>
  </si>
  <si>
    <r>
      <rPr>
        <sz val="11"/>
        <color rgb="FF000000"/>
        <rFont val="WenQuanYi Zen Hei"/>
        <family val="2"/>
      </rPr>
      <t xml:space="preserve">밀착 이동 </t>
    </r>
    <r>
      <rPr>
        <sz val="11"/>
        <color rgb="FF000000"/>
        <rFont val="맑은 고딕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일</t>
    </r>
  </si>
  <si>
    <t xml:space="preserve">공구사용손료</t>
  </si>
  <si>
    <t xml:space="preserve">도비전문장비</t>
  </si>
  <si>
    <t xml:space="preserve">일반관리비</t>
  </si>
  <si>
    <t xml:space="preserve">DAY</t>
  </si>
  <si>
    <t xml:space="preserve">기타비용</t>
  </si>
  <si>
    <t xml:space="preserve">소모품잡자재</t>
  </si>
  <si>
    <r>
      <rPr>
        <sz val="11"/>
        <color rgb="FF000000"/>
        <rFont val="WenQuanYi Zen Hei"/>
        <family val="2"/>
      </rPr>
      <t xml:space="preserve">고용</t>
    </r>
    <r>
      <rPr>
        <sz val="11"/>
        <color rgb="FF000000"/>
        <rFont val="맑은 고딕"/>
        <family val="0"/>
        <charset val="1"/>
      </rPr>
      <t xml:space="preserve">&amp;</t>
    </r>
    <r>
      <rPr>
        <sz val="11"/>
        <color rgb="FF000000"/>
        <rFont val="WenQuanYi Zen Hei"/>
        <family val="2"/>
      </rPr>
      <t xml:space="preserve">산재보험</t>
    </r>
  </si>
  <si>
    <t xml:space="preserve">%</t>
  </si>
  <si>
    <r>
      <rPr>
        <sz val="11"/>
        <color rgb="FF000000"/>
        <rFont val="WenQuanYi Zen Hei"/>
        <family val="2"/>
      </rPr>
      <t xml:space="preserve">인건비 </t>
    </r>
    <r>
      <rPr>
        <sz val="11"/>
        <color rgb="FF000000"/>
        <rFont val="맑은 고딕"/>
        <family val="0"/>
        <charset val="1"/>
      </rPr>
      <t xml:space="preserve">× 3.3%</t>
    </r>
  </si>
  <si>
    <t xml:space="preserve">기업이윤</t>
  </si>
  <si>
    <t xml:space="preserve">목표 금액 맞춤 조정 항목</t>
  </si>
  <si>
    <t xml:space="preserve">소    계</t>
  </si>
  <si>
    <r>
      <rPr>
        <sz val="9"/>
        <color rgb="FF555555"/>
        <rFont val="WenQuanYi Zen Hei"/>
        <family val="2"/>
      </rPr>
      <t xml:space="preserve">파란 글씨 </t>
    </r>
    <r>
      <rPr>
        <sz val="9"/>
        <color rgb="FF555555"/>
        <rFont val="맑은 고딕"/>
        <family val="0"/>
        <charset val="1"/>
      </rPr>
      <t xml:space="preserve">= </t>
    </r>
    <r>
      <rPr>
        <sz val="9"/>
        <color rgb="FF555555"/>
        <rFont val="WenQuanYi Zen Hei"/>
        <family val="2"/>
      </rPr>
      <t xml:space="preserve">수량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WenQuanYi Zen Hei"/>
        <family val="2"/>
      </rPr>
      <t xml:space="preserve">단가 가정값</t>
    </r>
    <r>
      <rPr>
        <sz val="9"/>
        <color rgb="FF555555"/>
        <rFont val="맑은 고딕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수정 가능</t>
    </r>
    <r>
      <rPr>
        <sz val="9"/>
        <color rgb="FF555555"/>
        <rFont val="맑은 고딕"/>
        <family val="0"/>
        <charset val="1"/>
      </rPr>
      <t xml:space="preserve">). </t>
    </r>
    <r>
      <rPr>
        <sz val="9"/>
        <color rgb="FF555555"/>
        <rFont val="WenQuanYi Zen Hei"/>
        <family val="2"/>
      </rPr>
      <t xml:space="preserve">기업이윤은 공종 목표 금액에 맞춰 넣은 값이라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다른 단가를 바꾸면 소계가 달라져요</t>
    </r>
    <r>
      <rPr>
        <sz val="9"/>
        <color rgb="FF555555"/>
        <rFont val="맑은 고딕"/>
        <family val="0"/>
        <charset val="1"/>
      </rPr>
      <t xml:space="preserve">.</t>
    </r>
  </si>
  <si>
    <r>
      <rPr>
        <b val="true"/>
        <sz val="12"/>
        <color rgb="FF000000"/>
        <rFont val="WenQuanYi Zen Hei"/>
        <family val="2"/>
      </rPr>
      <t xml:space="preserve">  작업 내용</t>
    </r>
    <r>
      <rPr>
        <b val="true"/>
        <sz val="12"/>
        <color rgb="FF000000"/>
        <rFont val="맑은 고딕"/>
        <family val="0"/>
        <charset val="1"/>
      </rPr>
      <t xml:space="preserve">: </t>
    </r>
    <r>
      <rPr>
        <b val="true"/>
        <sz val="12"/>
        <color rgb="FF000000"/>
        <rFont val="WenQuanYi Zen Hei"/>
        <family val="2"/>
      </rPr>
      <t xml:space="preserve">접합면 사상</t>
    </r>
    <r>
      <rPr>
        <b val="true"/>
        <sz val="12"/>
        <color rgb="FF000000"/>
        <rFont val="맑은 고딕"/>
        <family val="0"/>
        <charset val="1"/>
      </rPr>
      <t xml:space="preserve">(2</t>
    </r>
    <r>
      <rPr>
        <b val="true"/>
        <sz val="12"/>
        <color rgb="FF000000"/>
        <rFont val="WenQuanYi Zen Hei"/>
        <family val="2"/>
      </rPr>
      <t xml:space="preserve">일</t>
    </r>
    <r>
      <rPr>
        <b val="true"/>
        <sz val="12"/>
        <color rgb="FF000000"/>
        <rFont val="맑은 고딕"/>
        <family val="0"/>
        <charset val="1"/>
      </rPr>
      <t xml:space="preserve">) </t>
    </r>
    <r>
      <rPr>
        <b val="true"/>
        <sz val="12"/>
        <color rgb="FF000000"/>
        <rFont val="WenQuanYi Zen Hei"/>
        <family val="2"/>
      </rPr>
      <t xml:space="preserve">및 접합부 용접</t>
    </r>
    <r>
      <rPr>
        <b val="true"/>
        <sz val="12"/>
        <color rgb="FF000000"/>
        <rFont val="맑은 고딕"/>
        <family val="0"/>
        <charset val="1"/>
      </rPr>
      <t xml:space="preserve">(3</t>
    </r>
    <r>
      <rPr>
        <b val="true"/>
        <sz val="12"/>
        <color rgb="FF000000"/>
        <rFont val="WenQuanYi Zen Hei"/>
        <family val="2"/>
      </rPr>
      <t xml:space="preserve">일</t>
    </r>
    <r>
      <rPr>
        <b val="true"/>
        <sz val="12"/>
        <color rgb="FF000000"/>
        <rFont val="맑은 고딕"/>
        <family val="0"/>
        <charset val="1"/>
      </rPr>
      <t xml:space="preserve">)</t>
    </r>
  </si>
  <si>
    <t xml:space="preserve">용접작업</t>
  </si>
  <si>
    <t xml:space="preserve">용접사</t>
  </si>
  <si>
    <r>
      <rPr>
        <sz val="11"/>
        <color rgb="FF000000"/>
        <rFont val="맑은 고딕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명 </t>
    </r>
    <r>
      <rPr>
        <sz val="11"/>
        <color rgb="FF000000"/>
        <rFont val="맑은 고딕"/>
        <family val="0"/>
        <charset val="1"/>
      </rPr>
      <t xml:space="preserve">× 3</t>
    </r>
    <r>
      <rPr>
        <sz val="11"/>
        <color rgb="FF000000"/>
        <rFont val="WenQuanYi Zen Hei"/>
        <family val="2"/>
      </rPr>
      <t xml:space="preserve">일</t>
    </r>
  </si>
  <si>
    <t xml:space="preserve">고급기술자</t>
  </si>
  <si>
    <r>
      <rPr>
        <sz val="11"/>
        <color rgb="FF000000"/>
        <rFont val="맑은 고딕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명 </t>
    </r>
    <r>
      <rPr>
        <sz val="11"/>
        <color rgb="FF000000"/>
        <rFont val="맑은 고딕"/>
        <family val="0"/>
        <charset val="1"/>
      </rPr>
      <t xml:space="preserve">× 3</t>
    </r>
    <r>
      <rPr>
        <sz val="11"/>
        <color rgb="FF000000"/>
        <rFont val="WenQuanYi Zen Hei"/>
        <family val="2"/>
      </rPr>
      <t xml:space="preserve">일</t>
    </r>
  </si>
  <si>
    <t xml:space="preserve">사상작업</t>
  </si>
  <si>
    <t xml:space="preserve">사상 기술자</t>
  </si>
  <si>
    <r>
      <rPr>
        <sz val="11"/>
        <color rgb="FF000000"/>
        <rFont val="맑은 고딕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명 </t>
    </r>
    <r>
      <rPr>
        <sz val="11"/>
        <color rgb="FF000000"/>
        <rFont val="맑은 고딕"/>
        <family val="0"/>
        <charset val="1"/>
      </rPr>
      <t xml:space="preserve">× 2</t>
    </r>
    <r>
      <rPr>
        <sz val="11"/>
        <color rgb="FF000000"/>
        <rFont val="WenQuanYi Zen Hei"/>
        <family val="2"/>
      </rPr>
      <t xml:space="preserve">일</t>
    </r>
  </si>
  <si>
    <t xml:space="preserve">조공</t>
  </si>
  <si>
    <r>
      <rPr>
        <sz val="11"/>
        <color rgb="FF000000"/>
        <rFont val="WenQuanYi Zen Hei"/>
        <family val="2"/>
      </rPr>
      <t xml:space="preserve">안전관리자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화기감시</t>
    </r>
  </si>
  <si>
    <r>
      <rPr>
        <sz val="11"/>
        <color rgb="FF000000"/>
        <rFont val="WenQuanYi Zen Hei"/>
        <family val="2"/>
      </rPr>
      <t xml:space="preserve">사상 </t>
    </r>
    <r>
      <rPr>
        <sz val="11"/>
        <color rgb="FF000000"/>
        <rFont val="맑은 고딕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일 </t>
    </r>
    <r>
      <rPr>
        <sz val="11"/>
        <color rgb="FF000000"/>
        <rFont val="맑은 고딕"/>
        <family val="0"/>
        <charset val="1"/>
      </rPr>
      <t xml:space="preserve">+ </t>
    </r>
    <r>
      <rPr>
        <sz val="11"/>
        <color rgb="FF000000"/>
        <rFont val="WenQuanYi Zen Hei"/>
        <family val="2"/>
      </rPr>
      <t xml:space="preserve">용접 </t>
    </r>
    <r>
      <rPr>
        <sz val="11"/>
        <color rgb="FF000000"/>
        <rFont val="맑은 고딕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일</t>
    </r>
  </si>
  <si>
    <t xml:space="preserve">장비 대여</t>
  </si>
  <si>
    <r>
      <rPr>
        <sz val="11"/>
        <color rgb="FF000000"/>
        <rFont val="맑은 고딕"/>
        <family val="0"/>
        <charset val="1"/>
      </rPr>
      <t xml:space="preserve">CO2 </t>
    </r>
    <r>
      <rPr>
        <sz val="11"/>
        <color rgb="FF000000"/>
        <rFont val="WenQuanYi Zen Hei"/>
        <family val="2"/>
      </rPr>
      <t xml:space="preserve">용접기</t>
    </r>
  </si>
  <si>
    <r>
      <rPr>
        <sz val="11"/>
        <color rgb="FF000000"/>
        <rFont val="WenQuanYi Zen Hei"/>
        <family val="2"/>
      </rPr>
      <t xml:space="preserve">대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일</t>
    </r>
  </si>
  <si>
    <r>
      <rPr>
        <sz val="11"/>
        <color rgb="FF000000"/>
        <rFont val="맑은 고딕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대 </t>
    </r>
    <r>
      <rPr>
        <sz val="11"/>
        <color rgb="FF000000"/>
        <rFont val="맑은 고딕"/>
        <family val="0"/>
        <charset val="1"/>
      </rPr>
      <t xml:space="preserve">× 3</t>
    </r>
    <r>
      <rPr>
        <sz val="11"/>
        <color rgb="FF000000"/>
        <rFont val="WenQuanYi Zen Hei"/>
        <family val="2"/>
      </rPr>
      <t xml:space="preserve">일</t>
    </r>
    <r>
      <rPr>
        <sz val="11"/>
        <color rgb="FF000000"/>
        <rFont val="맑은 고딕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대당 일 </t>
    </r>
    <r>
      <rPr>
        <sz val="11"/>
        <color rgb="FF000000"/>
        <rFont val="맑은 고딕"/>
        <family val="0"/>
        <charset val="1"/>
      </rPr>
      <t xml:space="preserve">40</t>
    </r>
    <r>
      <rPr>
        <sz val="11"/>
        <color rgb="FF000000"/>
        <rFont val="WenQuanYi Zen Hei"/>
        <family val="2"/>
      </rPr>
      <t xml:space="preserve">만 원</t>
    </r>
  </si>
  <si>
    <t xml:space="preserve">장비사용료</t>
  </si>
  <si>
    <r>
      <rPr>
        <sz val="11"/>
        <color rgb="FF000000"/>
        <rFont val="WenQuanYi Zen Hei"/>
        <family val="2"/>
      </rPr>
      <t xml:space="preserve">그라인더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환기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조명</t>
    </r>
  </si>
  <si>
    <t xml:space="preserve">재료비</t>
  </si>
  <si>
    <r>
      <rPr>
        <sz val="11"/>
        <color rgb="FF000000"/>
        <rFont val="맑은 고딕"/>
        <family val="0"/>
        <charset val="1"/>
      </rPr>
      <t xml:space="preserve">CO2 </t>
    </r>
    <r>
      <rPr>
        <sz val="11"/>
        <color rgb="FF000000"/>
        <rFont val="WenQuanYi Zen Hei"/>
        <family val="2"/>
      </rPr>
      <t xml:space="preserve">가스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와이어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디스크</t>
    </r>
  </si>
  <si>
    <t xml:space="preserve">비파괴검사</t>
  </si>
  <si>
    <t xml:space="preserve">PT/UT</t>
  </si>
  <si>
    <r>
      <rPr>
        <sz val="11"/>
        <color rgb="FF000000"/>
        <rFont val="WenQuanYi Zen Hei"/>
        <family val="2"/>
      </rPr>
      <t xml:space="preserve">요구 시</t>
    </r>
    <r>
      <rPr>
        <sz val="11"/>
        <color rgb="FF000000"/>
        <rFont val="맑은 고딕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범위 확인 필요</t>
    </r>
  </si>
  <si>
    <r>
      <rPr>
        <sz val="11"/>
        <color rgb="FF000000"/>
        <rFont val="WenQuanYi Zen Hei"/>
        <family val="2"/>
      </rPr>
      <t xml:space="preserve">방청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도장 보수</t>
    </r>
  </si>
  <si>
    <t xml:space="preserve">용접부</t>
  </si>
  <si>
    <r>
      <rPr>
        <b val="true"/>
        <sz val="12"/>
        <color rgb="FF000000"/>
        <rFont val="WenQuanYi Zen Hei"/>
        <family val="2"/>
      </rPr>
      <t xml:space="preserve">  작업 내용</t>
    </r>
    <r>
      <rPr>
        <b val="true"/>
        <sz val="12"/>
        <color rgb="FF000000"/>
        <rFont val="맑은 고딕"/>
        <family val="0"/>
        <charset val="1"/>
      </rPr>
      <t xml:space="preserve">: </t>
    </r>
    <r>
      <rPr>
        <b val="true"/>
        <sz val="12"/>
        <color rgb="FF000000"/>
        <rFont val="WenQuanYi Zen Hei"/>
        <family val="2"/>
      </rPr>
      <t xml:space="preserve">사다리형 일체 베이스 </t>
    </r>
    <r>
      <rPr>
        <b val="true"/>
        <sz val="12"/>
        <color rgb="FF000000"/>
        <rFont val="맑은 고딕"/>
        <family val="0"/>
        <charset val="1"/>
      </rPr>
      <t xml:space="preserve">10,000×5,000×H800 </t>
    </r>
    <r>
      <rPr>
        <b val="true"/>
        <sz val="12"/>
        <color rgb="FF000000"/>
        <rFont val="WenQuanYi Zen Hei"/>
        <family val="2"/>
      </rPr>
      <t xml:space="preserve">제작</t>
    </r>
    <r>
      <rPr>
        <b val="true"/>
        <sz val="12"/>
        <color rgb="FF000000"/>
        <rFont val="맑은 고딕"/>
        <family val="0"/>
        <charset val="1"/>
      </rPr>
      <t xml:space="preserve">·</t>
    </r>
    <r>
      <rPr>
        <b val="true"/>
        <sz val="12"/>
        <color rgb="FF000000"/>
        <rFont val="WenQuanYi Zen Hei"/>
        <family val="2"/>
      </rPr>
      <t xml:space="preserve">설치 </t>
    </r>
    <r>
      <rPr>
        <b val="true"/>
        <sz val="12"/>
        <color rgb="FF000000"/>
        <rFont val="맑은 고딕"/>
        <family val="0"/>
        <charset val="1"/>
      </rPr>
      <t xml:space="preserve">(4</t>
    </r>
    <r>
      <rPr>
        <b val="true"/>
        <sz val="12"/>
        <color rgb="FF000000"/>
        <rFont val="WenQuanYi Zen Hei"/>
        <family val="2"/>
      </rPr>
      <t xml:space="preserve">명 </t>
    </r>
    <r>
      <rPr>
        <b val="true"/>
        <sz val="12"/>
        <color rgb="FF000000"/>
        <rFont val="맑은 고딕"/>
        <family val="0"/>
        <charset val="1"/>
      </rPr>
      <t xml:space="preserve">× 3</t>
    </r>
    <r>
      <rPr>
        <b val="true"/>
        <sz val="12"/>
        <color rgb="FF000000"/>
        <rFont val="WenQuanYi Zen Hei"/>
        <family val="2"/>
      </rPr>
      <t xml:space="preserve">일</t>
    </r>
    <r>
      <rPr>
        <b val="true"/>
        <sz val="12"/>
        <color rgb="FF000000"/>
        <rFont val="맑은 고딕"/>
        <family val="0"/>
        <charset val="1"/>
      </rPr>
      <t xml:space="preserve">)</t>
    </r>
  </si>
  <si>
    <t xml:space="preserve">제작작업</t>
  </si>
  <si>
    <r>
      <rPr>
        <sz val="11"/>
        <color rgb="FF000000"/>
        <rFont val="WenQuanYi Zen Hei"/>
        <family val="2"/>
      </rPr>
      <t xml:space="preserve">강재 </t>
    </r>
    <r>
      <rPr>
        <sz val="11"/>
        <color rgb="FF000000"/>
        <rFont val="맑은 고딕"/>
        <family val="0"/>
        <charset val="1"/>
      </rPr>
      <t xml:space="preserve">H-250·H-200·H-150·H-125</t>
    </r>
  </si>
  <si>
    <t xml:space="preserve">KG</t>
  </si>
  <si>
    <r>
      <rPr>
        <sz val="11"/>
        <color rgb="FF000000"/>
        <rFont val="WenQuanYi Zen Hei"/>
        <family val="2"/>
      </rPr>
      <t xml:space="preserve">자재산출 시트</t>
    </r>
    <r>
      <rPr>
        <sz val="11"/>
        <color rgb="FF000000"/>
        <rFont val="맑은 고딕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손실 </t>
    </r>
    <r>
      <rPr>
        <sz val="11"/>
        <color rgb="FF000000"/>
        <rFont val="맑은 고딕"/>
        <family val="0"/>
        <charset val="1"/>
      </rPr>
      <t xml:space="preserve">5% </t>
    </r>
    <r>
      <rPr>
        <sz val="11"/>
        <color rgb="FF000000"/>
        <rFont val="WenQuanYi Zen Hei"/>
        <family val="2"/>
      </rPr>
      <t xml:space="preserve">포함</t>
    </r>
  </si>
  <si>
    <t xml:space="preserve">제작 기공</t>
  </si>
  <si>
    <r>
      <rPr>
        <sz val="11"/>
        <color rgb="FF000000"/>
        <rFont val="맑은 고딕"/>
        <family val="0"/>
        <charset val="1"/>
      </rPr>
      <t xml:space="preserve">4</t>
    </r>
    <r>
      <rPr>
        <sz val="11"/>
        <color rgb="FF000000"/>
        <rFont val="WenQuanYi Zen Hei"/>
        <family val="2"/>
      </rPr>
      <t xml:space="preserve">명 </t>
    </r>
    <r>
      <rPr>
        <sz val="11"/>
        <color rgb="FF000000"/>
        <rFont val="맑은 고딕"/>
        <family val="0"/>
        <charset val="1"/>
      </rPr>
      <t xml:space="preserve">× 3</t>
    </r>
    <r>
      <rPr>
        <sz val="11"/>
        <color rgb="FF000000"/>
        <rFont val="WenQuanYi Zen Hei"/>
        <family val="2"/>
      </rPr>
      <t xml:space="preserve">일</t>
    </r>
  </si>
  <si>
    <t xml:space="preserve">방청 도장</t>
  </si>
  <si>
    <r>
      <rPr>
        <sz val="11"/>
        <color rgb="FF000000"/>
        <rFont val="WenQuanYi Zen Hei"/>
        <family val="2"/>
      </rPr>
      <t xml:space="preserve">프라이머 </t>
    </r>
    <r>
      <rPr>
        <sz val="11"/>
        <color rgb="FF000000"/>
        <rFont val="맑은 고딕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회</t>
    </r>
  </si>
  <si>
    <t xml:space="preserve">㎡</t>
  </si>
  <si>
    <t xml:space="preserve">자재산출 시트 도장면적</t>
  </si>
  <si>
    <r>
      <rPr>
        <sz val="11"/>
        <color rgb="FF000000"/>
        <rFont val="WenQuanYi Zen Hei"/>
        <family val="2"/>
      </rPr>
      <t xml:space="preserve">용접기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절단기</t>
    </r>
  </si>
  <si>
    <t xml:space="preserve">소모품</t>
  </si>
  <si>
    <r>
      <rPr>
        <sz val="11"/>
        <color rgb="FF000000"/>
        <rFont val="WenQuanYi Zen Hei"/>
        <family val="2"/>
      </rPr>
      <t xml:space="preserve">용접봉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가스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디스크</t>
    </r>
  </si>
  <si>
    <t xml:space="preserve">슬라이딩면 처리</t>
  </si>
  <si>
    <r>
      <rPr>
        <sz val="11"/>
        <color rgb="FF000000"/>
        <rFont val="WenQuanYi Zen Hei"/>
        <family val="2"/>
      </rPr>
      <t xml:space="preserve">그리스</t>
    </r>
    <r>
      <rPr>
        <sz val="11"/>
        <color rgb="FF000000"/>
        <rFont val="맑은 고딕"/>
        <family val="0"/>
        <charset val="1"/>
      </rPr>
      <t xml:space="preserve">·PTFE </t>
    </r>
    <r>
      <rPr>
        <sz val="11"/>
        <color rgb="FF000000"/>
        <rFont val="WenQuanYi Zen Hei"/>
        <family val="2"/>
      </rPr>
      <t xml:space="preserve">시트</t>
    </r>
  </si>
  <si>
    <t xml:space="preserve">밀착 이동용 레일 상면</t>
  </si>
  <si>
    <t xml:space="preserve">화 물 차</t>
  </si>
  <si>
    <t xml:space="preserve">운반</t>
  </si>
  <si>
    <r>
      <rPr>
        <sz val="11"/>
        <color rgb="FF000000"/>
        <rFont val="WenQuanYi Zen Hei"/>
        <family val="2"/>
      </rPr>
      <t xml:space="preserve">구조검토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제작도</t>
    </r>
  </si>
  <si>
    <r>
      <rPr>
        <sz val="11"/>
        <color rgb="FF000000"/>
        <rFont val="WenQuanYi Zen Hei"/>
        <family val="2"/>
      </rPr>
      <t xml:space="preserve">레일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기둥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지반 지지력</t>
    </r>
  </si>
  <si>
    <r>
      <rPr>
        <b val="true"/>
        <sz val="14"/>
        <color rgb="FF000000"/>
        <rFont val="WenQuanYi Zen Hei"/>
        <family val="2"/>
      </rPr>
      <t xml:space="preserve">공정표 </t>
    </r>
    <r>
      <rPr>
        <b val="true"/>
        <sz val="14"/>
        <color rgb="FF000000"/>
        <rFont val="맑은 고딕"/>
        <family val="0"/>
        <charset val="1"/>
      </rPr>
      <t xml:space="preserve">(</t>
    </r>
    <r>
      <rPr>
        <b val="true"/>
        <sz val="14"/>
        <color rgb="FF000000"/>
        <rFont val="WenQuanYi Zen Hei"/>
        <family val="2"/>
      </rPr>
      <t xml:space="preserve">총 </t>
    </r>
    <r>
      <rPr>
        <b val="true"/>
        <sz val="14"/>
        <color rgb="FF000000"/>
        <rFont val="맑은 고딕"/>
        <family val="0"/>
        <charset val="1"/>
      </rPr>
      <t xml:space="preserve">11</t>
    </r>
    <r>
      <rPr>
        <b val="true"/>
        <sz val="14"/>
        <color rgb="FF000000"/>
        <rFont val="WenQuanYi Zen Hei"/>
        <family val="2"/>
      </rPr>
      <t xml:space="preserve">일</t>
    </r>
    <r>
      <rPr>
        <b val="true"/>
        <sz val="14"/>
        <color rgb="FF000000"/>
        <rFont val="맑은 고딕"/>
        <family val="0"/>
        <charset val="1"/>
      </rPr>
      <t xml:space="preserve">)</t>
    </r>
  </si>
  <si>
    <t xml:space="preserve">공정</t>
  </si>
  <si>
    <t xml:space="preserve">투입 인원</t>
  </si>
  <si>
    <r>
      <rPr>
        <b val="true"/>
        <sz val="11"/>
        <color rgb="FF000000"/>
        <rFont val="맑은 고딕"/>
        <family val="0"/>
        <charset val="1"/>
      </rPr>
      <t xml:space="preserve">1</t>
    </r>
    <r>
      <rPr>
        <b val="true"/>
        <sz val="11"/>
        <color rgb="FF000000"/>
        <rFont val="WenQuanYi Zen Hei"/>
        <family val="2"/>
      </rPr>
      <t xml:space="preserve">일</t>
    </r>
  </si>
  <si>
    <r>
      <rPr>
        <b val="true"/>
        <sz val="11"/>
        <color rgb="FF000000"/>
        <rFont val="맑은 고딕"/>
        <family val="0"/>
        <charset val="1"/>
      </rPr>
      <t xml:space="preserve">2</t>
    </r>
    <r>
      <rPr>
        <b val="true"/>
        <sz val="11"/>
        <color rgb="FF000000"/>
        <rFont val="WenQuanYi Zen Hei"/>
        <family val="2"/>
      </rPr>
      <t xml:space="preserve">일</t>
    </r>
  </si>
  <si>
    <r>
      <rPr>
        <b val="true"/>
        <sz val="11"/>
        <color rgb="FF000000"/>
        <rFont val="맑은 고딕"/>
        <family val="0"/>
        <charset val="1"/>
      </rPr>
      <t xml:space="preserve">3</t>
    </r>
    <r>
      <rPr>
        <b val="true"/>
        <sz val="11"/>
        <color rgb="FF000000"/>
        <rFont val="WenQuanYi Zen Hei"/>
        <family val="2"/>
      </rPr>
      <t xml:space="preserve">일</t>
    </r>
  </si>
  <si>
    <r>
      <rPr>
        <b val="true"/>
        <sz val="11"/>
        <color rgb="FF000000"/>
        <rFont val="맑은 고딕"/>
        <family val="0"/>
        <charset val="1"/>
      </rPr>
      <t xml:space="preserve">4</t>
    </r>
    <r>
      <rPr>
        <b val="true"/>
        <sz val="11"/>
        <color rgb="FF000000"/>
        <rFont val="WenQuanYi Zen Hei"/>
        <family val="2"/>
      </rPr>
      <t xml:space="preserve">일</t>
    </r>
  </si>
  <si>
    <r>
      <rPr>
        <b val="true"/>
        <sz val="11"/>
        <color rgb="FF000000"/>
        <rFont val="맑은 고딕"/>
        <family val="0"/>
        <charset val="1"/>
      </rPr>
      <t xml:space="preserve">5</t>
    </r>
    <r>
      <rPr>
        <b val="true"/>
        <sz val="11"/>
        <color rgb="FF000000"/>
        <rFont val="WenQuanYi Zen Hei"/>
        <family val="2"/>
      </rPr>
      <t xml:space="preserve">일</t>
    </r>
  </si>
  <si>
    <r>
      <rPr>
        <b val="true"/>
        <sz val="11"/>
        <color rgb="FF000000"/>
        <rFont val="맑은 고딕"/>
        <family val="0"/>
        <charset val="1"/>
      </rPr>
      <t xml:space="preserve">6</t>
    </r>
    <r>
      <rPr>
        <b val="true"/>
        <sz val="11"/>
        <color rgb="FF000000"/>
        <rFont val="WenQuanYi Zen Hei"/>
        <family val="2"/>
      </rPr>
      <t xml:space="preserve">일</t>
    </r>
  </si>
  <si>
    <r>
      <rPr>
        <b val="true"/>
        <sz val="11"/>
        <color rgb="FF000000"/>
        <rFont val="맑은 고딕"/>
        <family val="0"/>
        <charset val="1"/>
      </rPr>
      <t xml:space="preserve">7</t>
    </r>
    <r>
      <rPr>
        <b val="true"/>
        <sz val="11"/>
        <color rgb="FF000000"/>
        <rFont val="WenQuanYi Zen Hei"/>
        <family val="2"/>
      </rPr>
      <t xml:space="preserve">일</t>
    </r>
  </si>
  <si>
    <r>
      <rPr>
        <b val="true"/>
        <sz val="11"/>
        <color rgb="FF000000"/>
        <rFont val="맑은 고딕"/>
        <family val="0"/>
        <charset val="1"/>
      </rPr>
      <t xml:space="preserve">8</t>
    </r>
    <r>
      <rPr>
        <b val="true"/>
        <sz val="11"/>
        <color rgb="FF000000"/>
        <rFont val="WenQuanYi Zen Hei"/>
        <family val="2"/>
      </rPr>
      <t xml:space="preserve">일</t>
    </r>
  </si>
  <si>
    <r>
      <rPr>
        <b val="true"/>
        <sz val="11"/>
        <color rgb="FF000000"/>
        <rFont val="맑은 고딕"/>
        <family val="0"/>
        <charset val="1"/>
      </rPr>
      <t xml:space="preserve">9</t>
    </r>
    <r>
      <rPr>
        <b val="true"/>
        <sz val="11"/>
        <color rgb="FF000000"/>
        <rFont val="WenQuanYi Zen Hei"/>
        <family val="2"/>
      </rPr>
      <t xml:space="preserve">일</t>
    </r>
  </si>
  <si>
    <r>
      <rPr>
        <b val="true"/>
        <sz val="11"/>
        <color rgb="FF000000"/>
        <rFont val="맑은 고딕"/>
        <family val="0"/>
        <charset val="1"/>
      </rPr>
      <t xml:space="preserve">10</t>
    </r>
    <r>
      <rPr>
        <b val="true"/>
        <sz val="11"/>
        <color rgb="FF000000"/>
        <rFont val="WenQuanYi Zen Hei"/>
        <family val="2"/>
      </rPr>
      <t xml:space="preserve">일</t>
    </r>
  </si>
  <si>
    <r>
      <rPr>
        <b val="true"/>
        <sz val="11"/>
        <color rgb="FF000000"/>
        <rFont val="맑은 고딕"/>
        <family val="0"/>
        <charset val="1"/>
      </rPr>
      <t xml:space="preserve">11</t>
    </r>
    <r>
      <rPr>
        <b val="true"/>
        <sz val="11"/>
        <color rgb="FF000000"/>
        <rFont val="WenQuanYi Zen Hei"/>
        <family val="2"/>
      </rPr>
      <t xml:space="preserve">일</t>
    </r>
  </si>
  <si>
    <r>
      <rPr>
        <sz val="11"/>
        <color rgb="FF000000"/>
        <rFont val="WenQuanYi Zen Hei"/>
        <family val="2"/>
      </rPr>
      <t xml:space="preserve">베이스 제작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설치</t>
    </r>
  </si>
  <si>
    <r>
      <rPr>
        <sz val="11"/>
        <color rgb="FF000000"/>
        <rFont val="WenQuanYi Zen Hei"/>
        <family val="2"/>
      </rPr>
      <t xml:space="preserve">제작 기공 </t>
    </r>
    <r>
      <rPr>
        <sz val="11"/>
        <color rgb="FF000000"/>
        <rFont val="맑은 고딕"/>
        <family val="0"/>
        <charset val="1"/>
      </rPr>
      <t xml:space="preserve">4</t>
    </r>
    <r>
      <rPr>
        <sz val="11"/>
        <color rgb="FF000000"/>
        <rFont val="WenQuanYi Zen Hei"/>
        <family val="2"/>
      </rPr>
      <t xml:space="preserve">명</t>
    </r>
  </si>
  <si>
    <r>
      <rPr>
        <sz val="11"/>
        <color rgb="FF000000"/>
        <rFont val="WenQuanYi Zen Hei"/>
        <family val="2"/>
      </rPr>
      <t xml:space="preserve">회전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베이스 안착 </t>
    </r>
    <r>
      <rPr>
        <sz val="11"/>
        <color rgb="FF000000"/>
        <rFont val="맑은 고딕"/>
        <family val="0"/>
        <charset val="1"/>
      </rPr>
      <t xml:space="preserve">(100t + 60t)</t>
    </r>
  </si>
  <si>
    <r>
      <rPr>
        <sz val="11"/>
        <color rgb="FF000000"/>
        <rFont val="WenQuanYi Zen Hei"/>
        <family val="2"/>
      </rPr>
      <t xml:space="preserve">도비 </t>
    </r>
    <r>
      <rPr>
        <sz val="11"/>
        <color rgb="FF000000"/>
        <rFont val="맑은 고딕"/>
        <family val="0"/>
        <charset val="1"/>
      </rPr>
      <t xml:space="preserve">7</t>
    </r>
    <r>
      <rPr>
        <sz val="11"/>
        <color rgb="FF000000"/>
        <rFont val="WenQuanYi Zen Hei"/>
        <family val="2"/>
      </rPr>
      <t xml:space="preserve">명</t>
    </r>
    <r>
      <rPr>
        <sz val="11"/>
        <color rgb="FF000000"/>
        <rFont val="맑은 고딕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안전관리자</t>
    </r>
  </si>
  <si>
    <t xml:space="preserve">접합면 사상</t>
  </si>
  <si>
    <r>
      <rPr>
        <sz val="11"/>
        <color rgb="FF000000"/>
        <rFont val="WenQuanYi Zen Hei"/>
        <family val="2"/>
      </rPr>
      <t xml:space="preserve">사상 기술자 </t>
    </r>
    <r>
      <rPr>
        <sz val="11"/>
        <color rgb="FF000000"/>
        <rFont val="맑은 고딕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명</t>
    </r>
    <r>
      <rPr>
        <sz val="11"/>
        <color rgb="FF000000"/>
        <rFont val="맑은 고딕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조공 </t>
    </r>
    <r>
      <rPr>
        <sz val="11"/>
        <color rgb="FF000000"/>
        <rFont val="맑은 고딕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명</t>
    </r>
  </si>
  <si>
    <t xml:space="preserve">용접면 밀착 이동</t>
  </si>
  <si>
    <t xml:space="preserve">접합부 용접</t>
  </si>
  <si>
    <r>
      <rPr>
        <sz val="11"/>
        <color rgb="FF000000"/>
        <rFont val="WenQuanYi Zen Hei"/>
        <family val="2"/>
      </rPr>
      <t xml:space="preserve">용접사 </t>
    </r>
    <r>
      <rPr>
        <sz val="11"/>
        <color rgb="FF000000"/>
        <rFont val="맑은 고딕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명</t>
    </r>
    <r>
      <rPr>
        <sz val="11"/>
        <color rgb="FF000000"/>
        <rFont val="맑은 고딕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고급기술자 </t>
    </r>
    <r>
      <rPr>
        <sz val="11"/>
        <color rgb="FF000000"/>
        <rFont val="맑은 고딕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명</t>
    </r>
  </si>
  <si>
    <r>
      <rPr>
        <sz val="9"/>
        <color rgb="FF555555"/>
        <rFont val="WenQuanYi Zen Hei"/>
        <family val="2"/>
      </rPr>
      <t xml:space="preserve">사용자 제시 공정 기준</t>
    </r>
    <r>
      <rPr>
        <sz val="9"/>
        <color rgb="FF555555"/>
        <rFont val="맑은 고딕"/>
        <family val="0"/>
        <charset val="1"/>
      </rPr>
      <t xml:space="preserve">. </t>
    </r>
    <r>
      <rPr>
        <sz val="9"/>
        <color rgb="FF555555"/>
        <rFont val="WenQuanYi Zen Hei"/>
        <family val="2"/>
      </rPr>
      <t xml:space="preserve">베이스 제작은 공장 선행 제작 시 공기를 줄일 수 있어요</t>
    </r>
    <r>
      <rPr>
        <sz val="9"/>
        <color rgb="FF555555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</si>
</sst>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_-;\-* #,##0_-;_-* \-_-;_-@_-"/>
    <numFmt numFmtId="166" formatCode="#,##0"/>
    <numFmt numFmtId="167" formatCode="#,##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3"/>
      <color rgb="FF000000"/>
      <name val="WenQuanYi Zen Hei"/>
      <family val="2"/>
    </font>
    <font>
      <b val="true"/>
      <sz val="15"/>
      <color rgb="FF000000"/>
      <name val="WenQuanYi Zen Hei"/>
      <family val="2"/>
    </font>
    <font>
      <sz val="11"/>
      <color rgb="FF000000"/>
      <name val="WenQuanYi Zen Hei"/>
      <family val="2"/>
    </font>
    <font>
      <sz val="11"/>
      <color rgb="FF000000"/>
      <name val="맑은 고딕"/>
      <family val="0"/>
      <charset val="1"/>
    </font>
    <font>
      <b val="true"/>
      <sz val="12"/>
      <color rgb="FF000000"/>
      <name val="WenQuanYi Zen Hei"/>
      <family val="2"/>
    </font>
    <font>
      <b val="true"/>
      <sz val="12"/>
      <color rgb="FF000000"/>
      <name val="맑은 고딕"/>
      <family val="0"/>
      <charset val="1"/>
    </font>
    <font>
      <sz val="10"/>
      <color rgb="FF555555"/>
      <name val="WenQuanYi Zen Hei"/>
      <family val="2"/>
    </font>
    <font>
      <sz val="10"/>
      <color rgb="FF555555"/>
      <name val="맑은 고딕"/>
      <family val="0"/>
      <charset val="1"/>
    </font>
    <font>
      <b val="true"/>
      <sz val="11"/>
      <color rgb="FF000000"/>
      <name val="WenQuanYi Zen Hei"/>
      <family val="2"/>
    </font>
    <font>
      <sz val="11"/>
      <color rgb="FF008000"/>
      <name val="맑은 고딕"/>
      <family val="0"/>
      <charset val="1"/>
    </font>
    <font>
      <b val="true"/>
      <sz val="11"/>
      <color rgb="FF000000"/>
      <name val="맑은 고딕"/>
      <family val="0"/>
      <charset val="1"/>
    </font>
    <font>
      <sz val="10"/>
      <color rgb="FF000000"/>
      <name val="맑은 고딕"/>
      <family val="0"/>
      <charset val="1"/>
    </font>
    <font>
      <sz val="10"/>
      <color rgb="FF000000"/>
      <name val="WenQuanYi Zen Hei"/>
      <family val="2"/>
    </font>
    <font>
      <sz val="11"/>
      <color rgb="FF0000FF"/>
      <name val="맑은 고딕"/>
      <family val="0"/>
      <charset val="1"/>
    </font>
    <font>
      <sz val="9"/>
      <color rgb="FF555555"/>
      <name val="WenQuanYi Zen Hei"/>
      <family val="2"/>
    </font>
    <font>
      <sz val="9"/>
      <color rgb="FF555555"/>
      <name val="맑은 고딕"/>
      <family val="0"/>
      <charset val="1"/>
    </font>
    <font>
      <b val="true"/>
      <sz val="14"/>
      <color rgb="FF000000"/>
      <name val="WenQuanYi Zen Hei"/>
      <family val="2"/>
    </font>
    <font>
      <b val="true"/>
      <sz val="14"/>
      <color rgb="FF000000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  <fill>
      <patternFill patternType="solid">
        <fgColor rgb="FFE8742A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42A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4"/>
    <col collapsed="false" customWidth="true" hidden="false" outlineLevel="0" max="2" min="2" style="0" width="9.9"/>
    <col collapsed="false" customWidth="true" hidden="false" outlineLevel="0" max="3" min="3" style="0" width="22.61"/>
    <col collapsed="false" customWidth="true" hidden="false" outlineLevel="0" max="4" min="4" style="0" width="22"/>
    <col collapsed="false" customWidth="true" hidden="false" outlineLevel="0" max="6" min="5" style="0" width="8"/>
    <col collapsed="false" customWidth="true" hidden="false" outlineLevel="0" max="7" min="7" style="0" width="15"/>
    <col collapsed="false" customWidth="true" hidden="false" outlineLevel="0" max="8" min="8" style="0" width="15.3"/>
    <col collapsed="false" customWidth="true" hidden="false" outlineLevel="0" max="9" min="9" style="0" width="30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4" customFormat="false" ht="20.1" hidden="false" customHeight="true" outlineLevel="0" collapsed="false">
      <c r="A4" s="2" t="s">
        <v>1</v>
      </c>
      <c r="B4" s="2"/>
      <c r="C4" s="2"/>
      <c r="G4" s="3" t="s">
        <v>2</v>
      </c>
      <c r="H4" s="3"/>
      <c r="I4" s="3"/>
    </row>
    <row r="5" customFormat="false" ht="15" hidden="false" customHeight="false" outlineLevel="0" collapsed="false">
      <c r="A5" s="4" t="s">
        <v>3</v>
      </c>
      <c r="B5" s="4"/>
      <c r="C5" s="4"/>
      <c r="G5" s="5" t="s">
        <v>4</v>
      </c>
      <c r="H5" s="5"/>
      <c r="I5" s="5"/>
    </row>
    <row r="6" customFormat="false" ht="15" hidden="false" customHeight="false" outlineLevel="0" collapsed="false">
      <c r="A6" s="6" t="s">
        <v>5</v>
      </c>
    </row>
    <row r="8" customFormat="false" ht="17.15" hidden="false" customHeight="true" outlineLevel="0" collapsed="false">
      <c r="A8" s="7" t="s">
        <v>6</v>
      </c>
      <c r="B8" s="7"/>
      <c r="C8" s="7"/>
      <c r="D8" s="7"/>
      <c r="E8" s="7"/>
      <c r="F8" s="7"/>
      <c r="G8" s="7"/>
      <c r="H8" s="7"/>
      <c r="I8" s="7"/>
    </row>
    <row r="9" customFormat="false" ht="14.15" hidden="false" customHeight="false" outlineLevel="0" collapsed="false">
      <c r="A9" s="8" t="s">
        <v>7</v>
      </c>
      <c r="B9" s="8"/>
      <c r="C9" s="8"/>
      <c r="D9" s="8"/>
      <c r="E9" s="8"/>
      <c r="F9" s="8"/>
      <c r="G9" s="8"/>
      <c r="H9" s="8"/>
      <c r="I9" s="8"/>
    </row>
    <row r="11" customFormat="false" ht="15" hidden="false" customHeight="true" outlineLevel="0" collapsed="false">
      <c r="A11" s="9" t="s">
        <v>8</v>
      </c>
      <c r="B11" s="9"/>
      <c r="C11" s="9"/>
      <c r="D11" s="9" t="s">
        <v>9</v>
      </c>
      <c r="E11" s="9" t="s">
        <v>10</v>
      </c>
      <c r="F11" s="9" t="s">
        <v>11</v>
      </c>
      <c r="G11" s="9" t="s">
        <v>12</v>
      </c>
      <c r="H11" s="9" t="s">
        <v>13</v>
      </c>
      <c r="I11" s="9" t="s">
        <v>14</v>
      </c>
    </row>
    <row r="12" customFormat="false" ht="24" hidden="false" customHeight="true" outlineLevel="0" collapsed="false">
      <c r="A12" s="10" t="s">
        <v>15</v>
      </c>
      <c r="B12" s="10"/>
      <c r="C12" s="10"/>
      <c r="D12" s="11" t="s">
        <v>16</v>
      </c>
      <c r="E12" s="11" t="s">
        <v>17</v>
      </c>
      <c r="F12" s="11" t="n">
        <v>1</v>
      </c>
      <c r="G12" s="12" t="n">
        <f aca="false">도비!H22</f>
        <v>20000000</v>
      </c>
      <c r="H12" s="13" t="n">
        <f aca="false">F12*G12</f>
        <v>20000000</v>
      </c>
      <c r="I12" s="14" t="s">
        <v>18</v>
      </c>
    </row>
    <row r="13" customFormat="false" ht="24" hidden="false" customHeight="true" outlineLevel="0" collapsed="false">
      <c r="A13" s="10" t="s">
        <v>19</v>
      </c>
      <c r="B13" s="10"/>
      <c r="C13" s="10"/>
      <c r="D13" s="11" t="s">
        <v>20</v>
      </c>
      <c r="E13" s="11" t="s">
        <v>17</v>
      </c>
      <c r="F13" s="11" t="n">
        <v>1</v>
      </c>
      <c r="G13" s="12" t="n">
        <f aca="false">용접!H25</f>
        <v>25000000</v>
      </c>
      <c r="H13" s="13" t="n">
        <f aca="false">F13*G13</f>
        <v>25000000</v>
      </c>
      <c r="I13" s="14" t="s">
        <v>21</v>
      </c>
    </row>
    <row r="14" customFormat="false" ht="24" hidden="false" customHeight="true" outlineLevel="0" collapsed="false">
      <c r="A14" s="10" t="s">
        <v>22</v>
      </c>
      <c r="B14" s="10"/>
      <c r="C14" s="10"/>
      <c r="D14" s="11" t="s">
        <v>23</v>
      </c>
      <c r="E14" s="11" t="s">
        <v>17</v>
      </c>
      <c r="F14" s="11" t="n">
        <v>1</v>
      </c>
      <c r="G14" s="12" t="n">
        <f aca="false">베이스!H23</f>
        <v>18000000</v>
      </c>
      <c r="H14" s="13" t="n">
        <f aca="false">F14*G14</f>
        <v>18000000</v>
      </c>
      <c r="I14" s="14" t="s">
        <v>24</v>
      </c>
    </row>
    <row r="15" customFormat="false" ht="24" hidden="false" customHeight="true" outlineLevel="0" collapsed="false">
      <c r="A15" s="9" t="s">
        <v>25</v>
      </c>
      <c r="B15" s="9"/>
      <c r="C15" s="9"/>
      <c r="D15" s="9"/>
      <c r="E15" s="15" t="s">
        <v>26</v>
      </c>
      <c r="F15" s="15"/>
      <c r="G15" s="15"/>
      <c r="H15" s="16" t="n">
        <f aca="false">SUM(H12:H14)</f>
        <v>63000000</v>
      </c>
      <c r="I15" s="17"/>
    </row>
    <row r="16" customFormat="false" ht="24" hidden="false" customHeight="true" outlineLevel="0" collapsed="false">
      <c r="A16" s="9" t="s">
        <v>27</v>
      </c>
      <c r="B16" s="9"/>
      <c r="C16" s="9"/>
      <c r="D16" s="9"/>
      <c r="E16" s="9"/>
      <c r="F16" s="18"/>
      <c r="G16" s="19"/>
      <c r="H16" s="16" t="n">
        <f aca="false">H15*0.1</f>
        <v>6300000</v>
      </c>
      <c r="I16" s="17"/>
    </row>
    <row r="17" customFormat="false" ht="24" hidden="false" customHeight="true" outlineLevel="0" collapsed="false">
      <c r="A17" s="9" t="s">
        <v>28</v>
      </c>
      <c r="B17" s="9"/>
      <c r="C17" s="9"/>
      <c r="D17" s="9"/>
      <c r="E17" s="15" t="s">
        <v>29</v>
      </c>
      <c r="F17" s="15"/>
      <c r="G17" s="15"/>
      <c r="H17" s="16" t="n">
        <f aca="false">H15+H16</f>
        <v>69300000</v>
      </c>
      <c r="I17" s="17"/>
    </row>
    <row r="19" customFormat="false" ht="14.15" hidden="false" customHeight="false" outlineLevel="0" collapsed="false">
      <c r="A19" s="20" t="s">
        <v>30</v>
      </c>
      <c r="B19" s="20"/>
      <c r="C19" s="20"/>
      <c r="D19" s="20"/>
      <c r="E19" s="20"/>
      <c r="F19" s="20"/>
      <c r="G19" s="20"/>
      <c r="H19" s="20"/>
      <c r="I19" s="20"/>
    </row>
    <row r="20" customFormat="false" ht="14.15" hidden="false" customHeight="false" outlineLevel="0" collapsed="false">
      <c r="A20" s="20" t="s">
        <v>31</v>
      </c>
      <c r="B20" s="20"/>
      <c r="C20" s="20"/>
      <c r="D20" s="20"/>
      <c r="E20" s="20"/>
      <c r="F20" s="20"/>
      <c r="G20" s="20"/>
      <c r="H20" s="20"/>
      <c r="I20" s="20"/>
    </row>
    <row r="21" customFormat="false" ht="14.15" hidden="false" customHeight="false" outlineLevel="0" collapsed="false">
      <c r="A21" s="20" t="s">
        <v>32</v>
      </c>
      <c r="B21" s="20"/>
      <c r="C21" s="20"/>
      <c r="D21" s="20"/>
      <c r="E21" s="20"/>
      <c r="F21" s="20"/>
      <c r="G21" s="20"/>
      <c r="H21" s="20"/>
      <c r="I21" s="20"/>
    </row>
    <row r="22" customFormat="false" ht="14.15" hidden="false" customHeight="false" outlineLevel="0" collapsed="false">
      <c r="A22" s="20" t="s">
        <v>33</v>
      </c>
      <c r="B22" s="20"/>
      <c r="C22" s="20"/>
      <c r="D22" s="20"/>
      <c r="E22" s="20"/>
      <c r="F22" s="20"/>
      <c r="G22" s="20"/>
      <c r="H22" s="20"/>
      <c r="I22" s="20"/>
    </row>
    <row r="23" customFormat="false" ht="14.15" hidden="false" customHeight="false" outlineLevel="0" collapsed="false">
      <c r="A23" s="20" t="s">
        <v>34</v>
      </c>
      <c r="B23" s="20"/>
      <c r="C23" s="20"/>
      <c r="D23" s="20"/>
      <c r="E23" s="20"/>
      <c r="F23" s="20"/>
      <c r="G23" s="20"/>
      <c r="H23" s="20"/>
      <c r="I23" s="20"/>
    </row>
  </sheetData>
  <mergeCells count="21">
    <mergeCell ref="A1:I2"/>
    <mergeCell ref="A4:C4"/>
    <mergeCell ref="G4:I4"/>
    <mergeCell ref="A5:C5"/>
    <mergeCell ref="G5:I5"/>
    <mergeCell ref="A8:I8"/>
    <mergeCell ref="A9:I9"/>
    <mergeCell ref="A11:C11"/>
    <mergeCell ref="A12:C12"/>
    <mergeCell ref="A13:C13"/>
    <mergeCell ref="A14:C14"/>
    <mergeCell ref="A15:D15"/>
    <mergeCell ref="E15:G15"/>
    <mergeCell ref="A16:D16"/>
    <mergeCell ref="A17:D17"/>
    <mergeCell ref="E17:G17"/>
    <mergeCell ref="A19:I19"/>
    <mergeCell ref="A20:I20"/>
    <mergeCell ref="A21:I21"/>
    <mergeCell ref="A22:I22"/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4"/>
    <col collapsed="false" customWidth="true" hidden="false" outlineLevel="0" max="2" min="2" style="0" width="9.9"/>
    <col collapsed="false" customWidth="true" hidden="false" outlineLevel="0" max="3" min="3" style="0" width="22.61"/>
    <col collapsed="false" customWidth="true" hidden="false" outlineLevel="0" max="4" min="4" style="0" width="22"/>
    <col collapsed="false" customWidth="true" hidden="false" outlineLevel="0" max="6" min="5" style="0" width="8"/>
    <col collapsed="false" customWidth="true" hidden="false" outlineLevel="0" max="7" min="7" style="0" width="12"/>
    <col collapsed="false" customWidth="true" hidden="false" outlineLevel="0" max="8" min="8" style="0" width="15.3"/>
    <col collapsed="false" customWidth="true" hidden="false" outlineLevel="0" max="9" min="9" style="0" width="30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4" customFormat="false" ht="20.1" hidden="false" customHeight="true" outlineLevel="0" collapsed="false">
      <c r="A4" s="2" t="s">
        <v>1</v>
      </c>
      <c r="B4" s="2"/>
      <c r="C4" s="2"/>
      <c r="G4" s="3" t="s">
        <v>2</v>
      </c>
      <c r="H4" s="3"/>
      <c r="I4" s="3"/>
    </row>
    <row r="5" customFormat="false" ht="15" hidden="false" customHeight="false" outlineLevel="0" collapsed="false">
      <c r="A5" s="4" t="s">
        <v>3</v>
      </c>
      <c r="B5" s="4"/>
      <c r="C5" s="4"/>
      <c r="G5" s="5" t="s">
        <v>4</v>
      </c>
      <c r="H5" s="5"/>
      <c r="I5" s="5"/>
    </row>
    <row r="6" customFormat="false" ht="15" hidden="false" customHeight="false" outlineLevel="0" collapsed="false">
      <c r="A6" s="6" t="s">
        <v>5</v>
      </c>
    </row>
    <row r="8" customFormat="false" ht="17.15" hidden="false" customHeight="true" outlineLevel="0" collapsed="false">
      <c r="A8" s="7" t="s">
        <v>35</v>
      </c>
      <c r="B8" s="7"/>
      <c r="C8" s="7"/>
      <c r="D8" s="7"/>
      <c r="E8" s="7"/>
      <c r="F8" s="7"/>
      <c r="G8" s="7"/>
      <c r="H8" s="7"/>
      <c r="I8" s="7"/>
    </row>
    <row r="10" customFormat="false" ht="15" hidden="false" customHeight="true" outlineLevel="0" collapsed="false">
      <c r="A10" s="9" t="s">
        <v>8</v>
      </c>
      <c r="B10" s="9"/>
      <c r="C10" s="9"/>
      <c r="D10" s="9" t="s">
        <v>9</v>
      </c>
      <c r="E10" s="9" t="s">
        <v>10</v>
      </c>
      <c r="F10" s="9" t="s">
        <v>11</v>
      </c>
      <c r="G10" s="9" t="s">
        <v>12</v>
      </c>
      <c r="H10" s="9" t="s">
        <v>13</v>
      </c>
      <c r="I10" s="9" t="s">
        <v>14</v>
      </c>
    </row>
    <row r="11" customFormat="false" ht="21.75" hidden="false" customHeight="true" outlineLevel="0" collapsed="false">
      <c r="A11" s="11" t="s">
        <v>36</v>
      </c>
      <c r="B11" s="11"/>
      <c r="C11" s="11" t="s">
        <v>37</v>
      </c>
      <c r="D11" s="11" t="s">
        <v>38</v>
      </c>
      <c r="E11" s="10" t="s">
        <v>39</v>
      </c>
      <c r="F11" s="21" t="n">
        <v>21</v>
      </c>
      <c r="G11" s="22" t="n">
        <v>300000</v>
      </c>
      <c r="H11" s="13" t="n">
        <f aca="false">F11*G11</f>
        <v>6300000</v>
      </c>
      <c r="I11" s="14" t="s">
        <v>40</v>
      </c>
    </row>
    <row r="12" customFormat="false" ht="21.75" hidden="false" customHeight="true" outlineLevel="0" collapsed="false">
      <c r="A12" s="11"/>
      <c r="B12" s="11"/>
      <c r="C12" s="11" t="s">
        <v>37</v>
      </c>
      <c r="D12" s="11" t="s">
        <v>41</v>
      </c>
      <c r="E12" s="10" t="s">
        <v>39</v>
      </c>
      <c r="F12" s="21" t="n">
        <v>3</v>
      </c>
      <c r="G12" s="22" t="n">
        <v>350000</v>
      </c>
      <c r="H12" s="13" t="n">
        <f aca="false">F12*G12</f>
        <v>1050000</v>
      </c>
      <c r="I12" s="14" t="s">
        <v>42</v>
      </c>
    </row>
    <row r="13" customFormat="false" ht="21.75" hidden="false" customHeight="true" outlineLevel="0" collapsed="false">
      <c r="A13" s="11"/>
      <c r="B13" s="11"/>
      <c r="C13" s="11" t="s">
        <v>43</v>
      </c>
      <c r="D13" s="10" t="s">
        <v>44</v>
      </c>
      <c r="E13" s="11" t="s">
        <v>45</v>
      </c>
      <c r="F13" s="21" t="n">
        <v>1</v>
      </c>
      <c r="G13" s="22" t="n">
        <v>2400000</v>
      </c>
      <c r="H13" s="13" t="n">
        <f aca="false">F13*G13</f>
        <v>2400000</v>
      </c>
      <c r="I13" s="23" t="s">
        <v>46</v>
      </c>
    </row>
    <row r="14" customFormat="false" ht="21.75" hidden="false" customHeight="true" outlineLevel="0" collapsed="false">
      <c r="A14" s="11"/>
      <c r="B14" s="11"/>
      <c r="C14" s="11" t="s">
        <v>43</v>
      </c>
      <c r="D14" s="10" t="s">
        <v>47</v>
      </c>
      <c r="E14" s="11" t="s">
        <v>45</v>
      </c>
      <c r="F14" s="21" t="n">
        <v>1</v>
      </c>
      <c r="G14" s="22" t="n">
        <v>1700000</v>
      </c>
      <c r="H14" s="13" t="n">
        <f aca="false">F14*G14</f>
        <v>1700000</v>
      </c>
      <c r="I14" s="23" t="s">
        <v>48</v>
      </c>
    </row>
    <row r="15" customFormat="false" ht="21.75" hidden="false" customHeight="true" outlineLevel="0" collapsed="false">
      <c r="A15" s="11"/>
      <c r="B15" s="11"/>
      <c r="C15" s="11" t="s">
        <v>49</v>
      </c>
      <c r="D15" s="11" t="s">
        <v>50</v>
      </c>
      <c r="E15" s="10" t="s">
        <v>51</v>
      </c>
      <c r="F15" s="21" t="n">
        <v>1</v>
      </c>
      <c r="G15" s="22" t="n">
        <v>2000000</v>
      </c>
      <c r="H15" s="13" t="n">
        <f aca="false">F15*G15</f>
        <v>2000000</v>
      </c>
      <c r="I15" s="23" t="s">
        <v>52</v>
      </c>
    </row>
    <row r="16" customFormat="false" ht="21.75" hidden="false" customHeight="true" outlineLevel="0" collapsed="false">
      <c r="A16" s="11"/>
      <c r="B16" s="11"/>
      <c r="C16" s="11" t="s">
        <v>53</v>
      </c>
      <c r="D16" s="11" t="s">
        <v>54</v>
      </c>
      <c r="E16" s="10" t="s">
        <v>51</v>
      </c>
      <c r="F16" s="21" t="n">
        <v>1</v>
      </c>
      <c r="G16" s="22" t="n">
        <v>2500000</v>
      </c>
      <c r="H16" s="13" t="n">
        <f aca="false">F16*G16</f>
        <v>2500000</v>
      </c>
      <c r="I16" s="23"/>
    </row>
    <row r="17" customFormat="false" ht="21.75" hidden="false" customHeight="true" outlineLevel="0" collapsed="false">
      <c r="A17" s="11"/>
      <c r="B17" s="11"/>
      <c r="C17" s="11" t="s">
        <v>55</v>
      </c>
      <c r="D17" s="11"/>
      <c r="E17" s="10" t="s">
        <v>56</v>
      </c>
      <c r="F17" s="21" t="n">
        <v>3</v>
      </c>
      <c r="G17" s="22" t="n">
        <v>700000</v>
      </c>
      <c r="H17" s="13" t="n">
        <f aca="false">F17*G17</f>
        <v>2100000</v>
      </c>
      <c r="I17" s="23"/>
    </row>
    <row r="18" customFormat="false" ht="21.75" hidden="false" customHeight="true" outlineLevel="0" collapsed="false">
      <c r="A18" s="11" t="s">
        <v>57</v>
      </c>
      <c r="B18" s="11"/>
      <c r="C18" s="11" t="s">
        <v>58</v>
      </c>
      <c r="D18" s="11"/>
      <c r="E18" s="11" t="s">
        <v>17</v>
      </c>
      <c r="F18" s="21" t="n">
        <v>1</v>
      </c>
      <c r="G18" s="22" t="n">
        <v>1000000</v>
      </c>
      <c r="H18" s="13" t="n">
        <f aca="false">F18*G18</f>
        <v>1000000</v>
      </c>
      <c r="I18" s="23"/>
    </row>
    <row r="19" customFormat="false" ht="21.75" hidden="false" customHeight="true" outlineLevel="0" collapsed="false">
      <c r="A19" s="11"/>
      <c r="B19" s="11"/>
      <c r="C19" s="11" t="s">
        <v>59</v>
      </c>
      <c r="D19" s="11"/>
      <c r="E19" s="10" t="s">
        <v>60</v>
      </c>
      <c r="F19" s="24" t="n">
        <v>3.3</v>
      </c>
      <c r="G19" s="13"/>
      <c r="H19" s="13" t="n">
        <f aca="false">(H11+H12)*0.033</f>
        <v>242550</v>
      </c>
      <c r="I19" s="23" t="s">
        <v>61</v>
      </c>
    </row>
    <row r="20" customFormat="false" ht="21.75" hidden="false" customHeight="true" outlineLevel="0" collapsed="false">
      <c r="A20" s="11"/>
      <c r="B20" s="11"/>
      <c r="C20" s="11" t="s">
        <v>62</v>
      </c>
      <c r="D20" s="11"/>
      <c r="E20" s="11" t="s">
        <v>17</v>
      </c>
      <c r="F20" s="21" t="n">
        <v>1</v>
      </c>
      <c r="G20" s="22" t="n">
        <v>707450</v>
      </c>
      <c r="H20" s="13" t="n">
        <f aca="false">F20*G20</f>
        <v>707450</v>
      </c>
      <c r="I20" s="23" t="s">
        <v>63</v>
      </c>
    </row>
    <row r="21" customFormat="false" ht="21.75" hidden="false" customHeight="true" outlineLevel="0" collapsed="false">
      <c r="A21" s="18"/>
      <c r="B21" s="18"/>
      <c r="C21" s="9" t="s">
        <v>64</v>
      </c>
      <c r="D21" s="18"/>
      <c r="E21" s="18"/>
      <c r="F21" s="25"/>
      <c r="G21" s="19"/>
      <c r="H21" s="16" t="n">
        <f aca="false">SUM(H11:H20)</f>
        <v>20000000</v>
      </c>
      <c r="I21" s="17"/>
    </row>
    <row r="22" customFormat="false" ht="21.75" hidden="false" customHeight="true" outlineLevel="0" collapsed="false">
      <c r="A22" s="9" t="s">
        <v>28</v>
      </c>
      <c r="B22" s="9"/>
      <c r="C22" s="9"/>
      <c r="D22" s="9"/>
      <c r="E22" s="15" t="s">
        <v>26</v>
      </c>
      <c r="F22" s="15"/>
      <c r="G22" s="15"/>
      <c r="H22" s="16" t="n">
        <f aca="false">H21</f>
        <v>20000000</v>
      </c>
      <c r="I22" s="17"/>
    </row>
    <row r="24" customFormat="false" ht="14.15" hidden="false" customHeight="false" outlineLevel="0" collapsed="false">
      <c r="A24" s="20" t="s">
        <v>30</v>
      </c>
      <c r="B24" s="20"/>
      <c r="C24" s="20"/>
      <c r="D24" s="20"/>
      <c r="E24" s="20"/>
      <c r="F24" s="20"/>
      <c r="G24" s="20"/>
      <c r="H24" s="20"/>
      <c r="I24" s="20"/>
    </row>
    <row r="25" customFormat="false" ht="14.15" hidden="false" customHeight="false" outlineLevel="0" collapsed="false">
      <c r="A25" s="20" t="s">
        <v>31</v>
      </c>
      <c r="B25" s="20"/>
      <c r="C25" s="20"/>
      <c r="D25" s="20"/>
      <c r="E25" s="20"/>
      <c r="F25" s="20"/>
      <c r="G25" s="20"/>
      <c r="H25" s="20"/>
      <c r="I25" s="20"/>
    </row>
    <row r="26" customFormat="false" ht="14.15" hidden="false" customHeight="false" outlineLevel="0" collapsed="false">
      <c r="A26" s="20" t="s">
        <v>32</v>
      </c>
      <c r="B26" s="20"/>
      <c r="C26" s="20"/>
      <c r="D26" s="20"/>
      <c r="E26" s="20"/>
      <c r="F26" s="20"/>
      <c r="G26" s="20"/>
      <c r="H26" s="20"/>
      <c r="I26" s="20"/>
    </row>
    <row r="28" customFormat="false" ht="15" hidden="false" customHeight="false" outlineLevel="0" collapsed="false">
      <c r="A28" s="26" t="s">
        <v>65</v>
      </c>
    </row>
  </sheetData>
  <mergeCells count="14">
    <mergeCell ref="A1:I2"/>
    <mergeCell ref="A4:C4"/>
    <mergeCell ref="G4:I4"/>
    <mergeCell ref="A5:C5"/>
    <mergeCell ref="G5:I5"/>
    <mergeCell ref="A8:I8"/>
    <mergeCell ref="A10:C10"/>
    <mergeCell ref="A11:B17"/>
    <mergeCell ref="A18:B20"/>
    <mergeCell ref="A22:D22"/>
    <mergeCell ref="E22:G22"/>
    <mergeCell ref="A24:I24"/>
    <mergeCell ref="A25:I25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4"/>
    <col collapsed="false" customWidth="true" hidden="false" outlineLevel="0" max="2" min="2" style="0" width="9.9"/>
    <col collapsed="false" customWidth="true" hidden="false" outlineLevel="0" max="3" min="3" style="0" width="22.61"/>
    <col collapsed="false" customWidth="true" hidden="false" outlineLevel="0" max="4" min="4" style="0" width="22"/>
    <col collapsed="false" customWidth="true" hidden="false" outlineLevel="0" max="6" min="5" style="0" width="8"/>
    <col collapsed="false" customWidth="true" hidden="false" outlineLevel="0" max="7" min="7" style="0" width="12"/>
    <col collapsed="false" customWidth="true" hidden="false" outlineLevel="0" max="8" min="8" style="0" width="15.3"/>
    <col collapsed="false" customWidth="true" hidden="false" outlineLevel="0" max="9" min="9" style="0" width="30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4" customFormat="false" ht="20.1" hidden="false" customHeight="true" outlineLevel="0" collapsed="false">
      <c r="A4" s="2" t="s">
        <v>1</v>
      </c>
      <c r="B4" s="2"/>
      <c r="C4" s="2"/>
      <c r="G4" s="3" t="s">
        <v>2</v>
      </c>
      <c r="H4" s="3"/>
      <c r="I4" s="3"/>
    </row>
    <row r="5" customFormat="false" ht="15" hidden="false" customHeight="false" outlineLevel="0" collapsed="false">
      <c r="A5" s="4" t="s">
        <v>3</v>
      </c>
      <c r="B5" s="4"/>
      <c r="C5" s="4"/>
      <c r="G5" s="5" t="s">
        <v>4</v>
      </c>
      <c r="H5" s="5"/>
      <c r="I5" s="5"/>
    </row>
    <row r="6" customFormat="false" ht="15" hidden="false" customHeight="false" outlineLevel="0" collapsed="false">
      <c r="A6" s="6" t="s">
        <v>5</v>
      </c>
    </row>
    <row r="8" customFormat="false" ht="17.15" hidden="false" customHeight="true" outlineLevel="0" collapsed="false">
      <c r="A8" s="7" t="s">
        <v>66</v>
      </c>
      <c r="B8" s="7"/>
      <c r="C8" s="7"/>
      <c r="D8" s="7"/>
      <c r="E8" s="7"/>
      <c r="F8" s="7"/>
      <c r="G8" s="7"/>
      <c r="H8" s="7"/>
      <c r="I8" s="7"/>
    </row>
    <row r="10" customFormat="false" ht="15" hidden="false" customHeight="true" outlineLevel="0" collapsed="false">
      <c r="A10" s="9" t="s">
        <v>8</v>
      </c>
      <c r="B10" s="9"/>
      <c r="C10" s="9"/>
      <c r="D10" s="9" t="s">
        <v>9</v>
      </c>
      <c r="E10" s="9" t="s">
        <v>10</v>
      </c>
      <c r="F10" s="9" t="s">
        <v>11</v>
      </c>
      <c r="G10" s="9" t="s">
        <v>12</v>
      </c>
      <c r="H10" s="9" t="s">
        <v>13</v>
      </c>
      <c r="I10" s="9" t="s">
        <v>14</v>
      </c>
    </row>
    <row r="11" customFormat="false" ht="21.75" hidden="false" customHeight="true" outlineLevel="0" collapsed="false">
      <c r="A11" s="11" t="s">
        <v>67</v>
      </c>
      <c r="B11" s="11"/>
      <c r="C11" s="11" t="s">
        <v>37</v>
      </c>
      <c r="D11" s="11" t="s">
        <v>68</v>
      </c>
      <c r="E11" s="10" t="s">
        <v>39</v>
      </c>
      <c r="F11" s="21" t="n">
        <v>9</v>
      </c>
      <c r="G11" s="22" t="n">
        <v>350000</v>
      </c>
      <c r="H11" s="13" t="n">
        <f aca="false">F11*G11</f>
        <v>3150000</v>
      </c>
      <c r="I11" s="14" t="s">
        <v>69</v>
      </c>
    </row>
    <row r="12" customFormat="false" ht="21.75" hidden="false" customHeight="true" outlineLevel="0" collapsed="false">
      <c r="A12" s="11"/>
      <c r="B12" s="11"/>
      <c r="C12" s="11" t="s">
        <v>37</v>
      </c>
      <c r="D12" s="11" t="s">
        <v>70</v>
      </c>
      <c r="E12" s="10" t="s">
        <v>39</v>
      </c>
      <c r="F12" s="21" t="n">
        <v>6</v>
      </c>
      <c r="G12" s="22" t="n">
        <v>450000</v>
      </c>
      <c r="H12" s="13" t="n">
        <f aca="false">F12*G12</f>
        <v>2700000</v>
      </c>
      <c r="I12" s="14" t="s">
        <v>71</v>
      </c>
    </row>
    <row r="13" customFormat="false" ht="21.75" hidden="false" customHeight="true" outlineLevel="0" collapsed="false">
      <c r="A13" s="11" t="s">
        <v>72</v>
      </c>
      <c r="B13" s="11"/>
      <c r="C13" s="11" t="s">
        <v>37</v>
      </c>
      <c r="D13" s="11" t="s">
        <v>73</v>
      </c>
      <c r="E13" s="10" t="s">
        <v>39</v>
      </c>
      <c r="F13" s="21" t="n">
        <v>4</v>
      </c>
      <c r="G13" s="22" t="n">
        <v>300000</v>
      </c>
      <c r="H13" s="13" t="n">
        <f aca="false">F13*G13</f>
        <v>1200000</v>
      </c>
      <c r="I13" s="14" t="s">
        <v>74</v>
      </c>
    </row>
    <row r="14" customFormat="false" ht="21.75" hidden="false" customHeight="true" outlineLevel="0" collapsed="false">
      <c r="A14" s="11"/>
      <c r="B14" s="11"/>
      <c r="C14" s="11" t="s">
        <v>37</v>
      </c>
      <c r="D14" s="11" t="s">
        <v>75</v>
      </c>
      <c r="E14" s="10" t="s">
        <v>39</v>
      </c>
      <c r="F14" s="21" t="n">
        <v>4</v>
      </c>
      <c r="G14" s="22" t="n">
        <v>200000</v>
      </c>
      <c r="H14" s="13" t="n">
        <f aca="false">F14*G14</f>
        <v>800000</v>
      </c>
      <c r="I14" s="14" t="s">
        <v>74</v>
      </c>
    </row>
    <row r="15" customFormat="false" ht="21.75" hidden="false" customHeight="true" outlineLevel="0" collapsed="false">
      <c r="A15" s="11" t="s">
        <v>67</v>
      </c>
      <c r="B15" s="11"/>
      <c r="C15" s="11" t="s">
        <v>37</v>
      </c>
      <c r="D15" s="11" t="s">
        <v>76</v>
      </c>
      <c r="E15" s="10" t="s">
        <v>39</v>
      </c>
      <c r="F15" s="21" t="n">
        <v>5</v>
      </c>
      <c r="G15" s="22" t="n">
        <v>300000</v>
      </c>
      <c r="H15" s="13" t="n">
        <f aca="false">F15*G15</f>
        <v>1500000</v>
      </c>
      <c r="I15" s="23" t="s">
        <v>77</v>
      </c>
    </row>
    <row r="16" customFormat="false" ht="21.75" hidden="false" customHeight="true" outlineLevel="0" collapsed="false">
      <c r="A16" s="11"/>
      <c r="B16" s="11"/>
      <c r="C16" s="11" t="s">
        <v>78</v>
      </c>
      <c r="D16" s="10" t="s">
        <v>79</v>
      </c>
      <c r="E16" s="11" t="s">
        <v>80</v>
      </c>
      <c r="F16" s="21" t="n">
        <v>9</v>
      </c>
      <c r="G16" s="22" t="n">
        <v>400000</v>
      </c>
      <c r="H16" s="13" t="n">
        <f aca="false">F16*G16</f>
        <v>3600000</v>
      </c>
      <c r="I16" s="14" t="s">
        <v>81</v>
      </c>
    </row>
    <row r="17" customFormat="false" ht="21.75" hidden="false" customHeight="true" outlineLevel="0" collapsed="false">
      <c r="A17" s="11"/>
      <c r="B17" s="11"/>
      <c r="C17" s="11" t="s">
        <v>82</v>
      </c>
      <c r="D17" s="11" t="s">
        <v>83</v>
      </c>
      <c r="E17" s="10" t="s">
        <v>51</v>
      </c>
      <c r="F17" s="21" t="n">
        <v>1</v>
      </c>
      <c r="G17" s="22" t="n">
        <v>800000</v>
      </c>
      <c r="H17" s="13" t="n">
        <f aca="false">F17*G17</f>
        <v>800000</v>
      </c>
      <c r="I17" s="23"/>
    </row>
    <row r="18" customFormat="false" ht="21.75" hidden="false" customHeight="true" outlineLevel="0" collapsed="false">
      <c r="A18" s="11"/>
      <c r="B18" s="11"/>
      <c r="C18" s="11" t="s">
        <v>84</v>
      </c>
      <c r="D18" s="10" t="s">
        <v>85</v>
      </c>
      <c r="E18" s="11" t="s">
        <v>17</v>
      </c>
      <c r="F18" s="21" t="n">
        <v>1</v>
      </c>
      <c r="G18" s="22" t="n">
        <v>3000000</v>
      </c>
      <c r="H18" s="13" t="n">
        <f aca="false">F18*G18</f>
        <v>3000000</v>
      </c>
      <c r="I18" s="23"/>
    </row>
    <row r="19" customFormat="false" ht="21.75" hidden="false" customHeight="true" outlineLevel="0" collapsed="false">
      <c r="A19" s="11"/>
      <c r="B19" s="11"/>
      <c r="C19" s="11" t="s">
        <v>86</v>
      </c>
      <c r="D19" s="10" t="s">
        <v>87</v>
      </c>
      <c r="E19" s="11" t="s">
        <v>17</v>
      </c>
      <c r="F19" s="21" t="n">
        <v>1</v>
      </c>
      <c r="G19" s="22" t="n">
        <v>2500000</v>
      </c>
      <c r="H19" s="13" t="n">
        <f aca="false">F19*G19</f>
        <v>2500000</v>
      </c>
      <c r="I19" s="23" t="s">
        <v>88</v>
      </c>
    </row>
    <row r="20" customFormat="false" ht="21.75" hidden="false" customHeight="true" outlineLevel="0" collapsed="false">
      <c r="A20" s="11"/>
      <c r="B20" s="11"/>
      <c r="C20" s="11" t="s">
        <v>89</v>
      </c>
      <c r="D20" s="11" t="s">
        <v>90</v>
      </c>
      <c r="E20" s="11" t="s">
        <v>17</v>
      </c>
      <c r="F20" s="21" t="n">
        <v>1</v>
      </c>
      <c r="G20" s="22" t="n">
        <v>1500000</v>
      </c>
      <c r="H20" s="13" t="n">
        <f aca="false">F20*G20</f>
        <v>1500000</v>
      </c>
      <c r="I20" s="23"/>
    </row>
    <row r="21" customFormat="false" ht="21.75" hidden="false" customHeight="true" outlineLevel="0" collapsed="false">
      <c r="A21" s="11" t="s">
        <v>57</v>
      </c>
      <c r="B21" s="11"/>
      <c r="C21" s="11" t="s">
        <v>55</v>
      </c>
      <c r="D21" s="11"/>
      <c r="E21" s="10" t="s">
        <v>56</v>
      </c>
      <c r="F21" s="21" t="n">
        <v>5</v>
      </c>
      <c r="G21" s="22" t="n">
        <v>600000</v>
      </c>
      <c r="H21" s="13" t="n">
        <f aca="false">F21*G21</f>
        <v>3000000</v>
      </c>
      <c r="I21" s="23"/>
    </row>
    <row r="22" customFormat="false" ht="21.75" hidden="false" customHeight="true" outlineLevel="0" collapsed="false">
      <c r="A22" s="11"/>
      <c r="B22" s="11"/>
      <c r="C22" s="11" t="s">
        <v>59</v>
      </c>
      <c r="D22" s="11"/>
      <c r="E22" s="10" t="s">
        <v>60</v>
      </c>
      <c r="F22" s="24" t="n">
        <v>3.3</v>
      </c>
      <c r="G22" s="13"/>
      <c r="H22" s="13" t="n">
        <f aca="false">(H11+H12+H13+H14+H15)*0.033</f>
        <v>308550</v>
      </c>
      <c r="I22" s="23" t="s">
        <v>61</v>
      </c>
    </row>
    <row r="23" customFormat="false" ht="21.75" hidden="false" customHeight="true" outlineLevel="0" collapsed="false">
      <c r="A23" s="11"/>
      <c r="B23" s="11"/>
      <c r="C23" s="11" t="s">
        <v>62</v>
      </c>
      <c r="D23" s="11"/>
      <c r="E23" s="11" t="s">
        <v>17</v>
      </c>
      <c r="F23" s="21" t="n">
        <v>1</v>
      </c>
      <c r="G23" s="22" t="n">
        <v>941450</v>
      </c>
      <c r="H23" s="13" t="n">
        <f aca="false">F23*G23</f>
        <v>941450</v>
      </c>
      <c r="I23" s="23" t="s">
        <v>63</v>
      </c>
    </row>
    <row r="24" customFormat="false" ht="21.75" hidden="false" customHeight="true" outlineLevel="0" collapsed="false">
      <c r="A24" s="18"/>
      <c r="B24" s="18"/>
      <c r="C24" s="9" t="s">
        <v>64</v>
      </c>
      <c r="D24" s="18"/>
      <c r="E24" s="18"/>
      <c r="F24" s="25"/>
      <c r="G24" s="19"/>
      <c r="H24" s="16" t="n">
        <f aca="false">SUM(H11:H23)</f>
        <v>25000000</v>
      </c>
      <c r="I24" s="17"/>
    </row>
    <row r="25" customFormat="false" ht="21.75" hidden="false" customHeight="true" outlineLevel="0" collapsed="false">
      <c r="A25" s="9" t="s">
        <v>28</v>
      </c>
      <c r="B25" s="9"/>
      <c r="C25" s="9"/>
      <c r="D25" s="9"/>
      <c r="E25" s="15" t="s">
        <v>26</v>
      </c>
      <c r="F25" s="15"/>
      <c r="G25" s="15"/>
      <c r="H25" s="16" t="n">
        <f aca="false">H24</f>
        <v>25000000</v>
      </c>
      <c r="I25" s="17"/>
    </row>
    <row r="27" customFormat="false" ht="14.15" hidden="false" customHeight="false" outlineLevel="0" collapsed="false">
      <c r="A27" s="20" t="s">
        <v>30</v>
      </c>
      <c r="B27" s="20"/>
      <c r="C27" s="20"/>
      <c r="D27" s="20"/>
      <c r="E27" s="20"/>
      <c r="F27" s="20"/>
      <c r="G27" s="20"/>
      <c r="H27" s="20"/>
      <c r="I27" s="20"/>
    </row>
    <row r="28" customFormat="false" ht="14.15" hidden="false" customHeight="false" outlineLevel="0" collapsed="false">
      <c r="A28" s="20" t="s">
        <v>31</v>
      </c>
      <c r="B28" s="20"/>
      <c r="C28" s="20"/>
      <c r="D28" s="20"/>
      <c r="E28" s="20"/>
      <c r="F28" s="20"/>
      <c r="G28" s="20"/>
      <c r="H28" s="20"/>
      <c r="I28" s="20"/>
    </row>
    <row r="29" customFormat="false" ht="14.15" hidden="false" customHeight="false" outlineLevel="0" collapsed="false">
      <c r="A29" s="20" t="s">
        <v>32</v>
      </c>
      <c r="B29" s="20"/>
      <c r="C29" s="20"/>
      <c r="D29" s="20"/>
      <c r="E29" s="20"/>
      <c r="F29" s="20"/>
      <c r="G29" s="20"/>
      <c r="H29" s="20"/>
      <c r="I29" s="20"/>
    </row>
    <row r="31" customFormat="false" ht="15" hidden="false" customHeight="false" outlineLevel="0" collapsed="false">
      <c r="A31" s="26" t="s">
        <v>65</v>
      </c>
    </row>
  </sheetData>
  <mergeCells count="16">
    <mergeCell ref="A1:I2"/>
    <mergeCell ref="A4:C4"/>
    <mergeCell ref="G4:I4"/>
    <mergeCell ref="A5:C5"/>
    <mergeCell ref="G5:I5"/>
    <mergeCell ref="A8:I8"/>
    <mergeCell ref="A10:C10"/>
    <mergeCell ref="A11:B12"/>
    <mergeCell ref="A13:B14"/>
    <mergeCell ref="A15:B20"/>
    <mergeCell ref="A21:B23"/>
    <mergeCell ref="A25:D25"/>
    <mergeCell ref="E25:G25"/>
    <mergeCell ref="A27:I27"/>
    <mergeCell ref="A28:I28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4"/>
    <col collapsed="false" customWidth="true" hidden="false" outlineLevel="0" max="2" min="2" style="0" width="9.9"/>
    <col collapsed="false" customWidth="true" hidden="false" outlineLevel="0" max="3" min="3" style="0" width="22.61"/>
    <col collapsed="false" customWidth="true" hidden="false" outlineLevel="0" max="4" min="4" style="0" width="22"/>
    <col collapsed="false" customWidth="true" hidden="false" outlineLevel="0" max="6" min="5" style="0" width="8"/>
    <col collapsed="false" customWidth="true" hidden="false" outlineLevel="0" max="7" min="7" style="0" width="12"/>
    <col collapsed="false" customWidth="true" hidden="false" outlineLevel="0" max="8" min="8" style="0" width="15.3"/>
    <col collapsed="false" customWidth="true" hidden="false" outlineLevel="0" max="9" min="9" style="0" width="30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4" customFormat="false" ht="20.1" hidden="false" customHeight="true" outlineLevel="0" collapsed="false">
      <c r="A4" s="2" t="s">
        <v>1</v>
      </c>
      <c r="B4" s="2"/>
      <c r="C4" s="2"/>
      <c r="G4" s="3" t="s">
        <v>2</v>
      </c>
      <c r="H4" s="3"/>
      <c r="I4" s="3"/>
    </row>
    <row r="5" customFormat="false" ht="15" hidden="false" customHeight="false" outlineLevel="0" collapsed="false">
      <c r="A5" s="4" t="s">
        <v>3</v>
      </c>
      <c r="B5" s="4"/>
      <c r="C5" s="4"/>
      <c r="G5" s="5" t="s">
        <v>4</v>
      </c>
      <c r="H5" s="5"/>
      <c r="I5" s="5"/>
    </row>
    <row r="6" customFormat="false" ht="15" hidden="false" customHeight="false" outlineLevel="0" collapsed="false">
      <c r="A6" s="6" t="s">
        <v>5</v>
      </c>
    </row>
    <row r="8" customFormat="false" ht="17.15" hidden="false" customHeight="true" outlineLevel="0" collapsed="false">
      <c r="A8" s="7" t="s">
        <v>91</v>
      </c>
      <c r="B8" s="7"/>
      <c r="C8" s="7"/>
      <c r="D8" s="7"/>
      <c r="E8" s="7"/>
      <c r="F8" s="7"/>
      <c r="G8" s="7"/>
      <c r="H8" s="7"/>
      <c r="I8" s="7"/>
    </row>
    <row r="10" customFormat="false" ht="15" hidden="false" customHeight="true" outlineLevel="0" collapsed="false">
      <c r="A10" s="9" t="s">
        <v>8</v>
      </c>
      <c r="B10" s="9"/>
      <c r="C10" s="9"/>
      <c r="D10" s="9" t="s">
        <v>9</v>
      </c>
      <c r="E10" s="9" t="s">
        <v>10</v>
      </c>
      <c r="F10" s="9" t="s">
        <v>11</v>
      </c>
      <c r="G10" s="9" t="s">
        <v>12</v>
      </c>
      <c r="H10" s="9" t="s">
        <v>13</v>
      </c>
      <c r="I10" s="9" t="s">
        <v>14</v>
      </c>
    </row>
    <row r="11" customFormat="false" ht="21.75" hidden="false" customHeight="true" outlineLevel="0" collapsed="false">
      <c r="A11" s="11" t="s">
        <v>92</v>
      </c>
      <c r="B11" s="11"/>
      <c r="C11" s="11" t="s">
        <v>84</v>
      </c>
      <c r="D11" s="11" t="s">
        <v>93</v>
      </c>
      <c r="E11" s="10" t="s">
        <v>94</v>
      </c>
      <c r="F11" s="21" t="n">
        <v>3227</v>
      </c>
      <c r="G11" s="22" t="n">
        <v>1300</v>
      </c>
      <c r="H11" s="13" t="n">
        <f aca="false">F11*G11</f>
        <v>4195100</v>
      </c>
      <c r="I11" s="23" t="s">
        <v>95</v>
      </c>
    </row>
    <row r="12" customFormat="false" ht="21.75" hidden="false" customHeight="true" outlineLevel="0" collapsed="false">
      <c r="A12" s="11"/>
      <c r="B12" s="11"/>
      <c r="C12" s="11" t="s">
        <v>37</v>
      </c>
      <c r="D12" s="11" t="s">
        <v>96</v>
      </c>
      <c r="E12" s="10" t="s">
        <v>39</v>
      </c>
      <c r="F12" s="21" t="n">
        <v>12</v>
      </c>
      <c r="G12" s="22" t="n">
        <v>300000</v>
      </c>
      <c r="H12" s="13" t="n">
        <f aca="false">F12*G12</f>
        <v>3600000</v>
      </c>
      <c r="I12" s="14" t="s">
        <v>97</v>
      </c>
    </row>
    <row r="13" customFormat="false" ht="21.75" hidden="false" customHeight="true" outlineLevel="0" collapsed="false">
      <c r="A13" s="11"/>
      <c r="B13" s="11"/>
      <c r="C13" s="11" t="s">
        <v>98</v>
      </c>
      <c r="D13" s="11" t="s">
        <v>99</v>
      </c>
      <c r="E13" s="11" t="s">
        <v>100</v>
      </c>
      <c r="F13" s="21" t="n">
        <v>102</v>
      </c>
      <c r="G13" s="22" t="n">
        <v>15000</v>
      </c>
      <c r="H13" s="13" t="n">
        <f aca="false">F13*G13</f>
        <v>1530000</v>
      </c>
      <c r="I13" s="23" t="s">
        <v>101</v>
      </c>
    </row>
    <row r="14" customFormat="false" ht="21.75" hidden="false" customHeight="true" outlineLevel="0" collapsed="false">
      <c r="A14" s="11"/>
      <c r="B14" s="11"/>
      <c r="C14" s="11" t="s">
        <v>82</v>
      </c>
      <c r="D14" s="11" t="s">
        <v>102</v>
      </c>
      <c r="E14" s="10" t="s">
        <v>51</v>
      </c>
      <c r="F14" s="21" t="n">
        <v>1</v>
      </c>
      <c r="G14" s="22" t="n">
        <v>1500000</v>
      </c>
      <c r="H14" s="13" t="n">
        <f aca="false">F14*G14</f>
        <v>1500000</v>
      </c>
      <c r="I14" s="23"/>
    </row>
    <row r="15" customFormat="false" ht="21.75" hidden="false" customHeight="true" outlineLevel="0" collapsed="false">
      <c r="A15" s="11"/>
      <c r="B15" s="11"/>
      <c r="C15" s="11" t="s">
        <v>103</v>
      </c>
      <c r="D15" s="11" t="s">
        <v>104</v>
      </c>
      <c r="E15" s="11" t="s">
        <v>17</v>
      </c>
      <c r="F15" s="21" t="n">
        <v>1</v>
      </c>
      <c r="G15" s="22" t="n">
        <v>1500000</v>
      </c>
      <c r="H15" s="13" t="n">
        <f aca="false">F15*G15</f>
        <v>1500000</v>
      </c>
      <c r="I15" s="23"/>
    </row>
    <row r="16" customFormat="false" ht="21.75" hidden="false" customHeight="true" outlineLevel="0" collapsed="false">
      <c r="A16" s="11"/>
      <c r="B16" s="11"/>
      <c r="C16" s="11" t="s">
        <v>105</v>
      </c>
      <c r="D16" s="11" t="s">
        <v>106</v>
      </c>
      <c r="E16" s="11" t="s">
        <v>17</v>
      </c>
      <c r="F16" s="21" t="n">
        <v>1</v>
      </c>
      <c r="G16" s="22" t="n">
        <v>800000</v>
      </c>
      <c r="H16" s="13" t="n">
        <f aca="false">F16*G16</f>
        <v>800000</v>
      </c>
      <c r="I16" s="23" t="s">
        <v>107</v>
      </c>
    </row>
    <row r="17" customFormat="false" ht="21.75" hidden="false" customHeight="true" outlineLevel="0" collapsed="false">
      <c r="A17" s="11"/>
      <c r="B17" s="11"/>
      <c r="C17" s="11" t="s">
        <v>108</v>
      </c>
      <c r="D17" s="11" t="s">
        <v>109</v>
      </c>
      <c r="E17" s="11" t="s">
        <v>45</v>
      </c>
      <c r="F17" s="21" t="n">
        <v>1</v>
      </c>
      <c r="G17" s="22" t="n">
        <v>500000</v>
      </c>
      <c r="H17" s="13" t="n">
        <f aca="false">F17*G17</f>
        <v>500000</v>
      </c>
      <c r="I17" s="23"/>
    </row>
    <row r="18" customFormat="false" ht="21.75" hidden="false" customHeight="true" outlineLevel="0" collapsed="false">
      <c r="A18" s="11" t="s">
        <v>57</v>
      </c>
      <c r="B18" s="11"/>
      <c r="C18" s="11" t="s">
        <v>110</v>
      </c>
      <c r="D18" s="11"/>
      <c r="E18" s="11" t="s">
        <v>17</v>
      </c>
      <c r="F18" s="21" t="n">
        <v>1</v>
      </c>
      <c r="G18" s="22" t="n">
        <v>1500000</v>
      </c>
      <c r="H18" s="13" t="n">
        <f aca="false">F18*G18</f>
        <v>1500000</v>
      </c>
      <c r="I18" s="23" t="s">
        <v>111</v>
      </c>
    </row>
    <row r="19" customFormat="false" ht="21.75" hidden="false" customHeight="true" outlineLevel="0" collapsed="false">
      <c r="A19" s="11"/>
      <c r="B19" s="11"/>
      <c r="C19" s="11" t="s">
        <v>55</v>
      </c>
      <c r="D19" s="11"/>
      <c r="E19" s="10" t="s">
        <v>56</v>
      </c>
      <c r="F19" s="21" t="n">
        <v>3</v>
      </c>
      <c r="G19" s="22" t="n">
        <v>500000</v>
      </c>
      <c r="H19" s="13" t="n">
        <f aca="false">F19*G19</f>
        <v>1500000</v>
      </c>
      <c r="I19" s="23"/>
    </row>
    <row r="20" customFormat="false" ht="21.75" hidden="false" customHeight="true" outlineLevel="0" collapsed="false">
      <c r="A20" s="11"/>
      <c r="B20" s="11"/>
      <c r="C20" s="11" t="s">
        <v>59</v>
      </c>
      <c r="D20" s="11"/>
      <c r="E20" s="10" t="s">
        <v>60</v>
      </c>
      <c r="F20" s="24" t="n">
        <v>3.3</v>
      </c>
      <c r="G20" s="13"/>
      <c r="H20" s="13" t="n">
        <f aca="false">(H12)*0.033</f>
        <v>118800</v>
      </c>
      <c r="I20" s="23" t="s">
        <v>61</v>
      </c>
    </row>
    <row r="21" customFormat="false" ht="21.75" hidden="false" customHeight="true" outlineLevel="0" collapsed="false">
      <c r="A21" s="11"/>
      <c r="B21" s="11"/>
      <c r="C21" s="11" t="s">
        <v>62</v>
      </c>
      <c r="D21" s="11"/>
      <c r="E21" s="11" t="s">
        <v>17</v>
      </c>
      <c r="F21" s="21" t="n">
        <v>1</v>
      </c>
      <c r="G21" s="22" t="n">
        <v>1256100</v>
      </c>
      <c r="H21" s="13" t="n">
        <f aca="false">F21*G21</f>
        <v>1256100</v>
      </c>
      <c r="I21" s="23" t="s">
        <v>63</v>
      </c>
    </row>
    <row r="22" customFormat="false" ht="21.75" hidden="false" customHeight="true" outlineLevel="0" collapsed="false">
      <c r="A22" s="18"/>
      <c r="B22" s="18"/>
      <c r="C22" s="9" t="s">
        <v>64</v>
      </c>
      <c r="D22" s="18"/>
      <c r="E22" s="18"/>
      <c r="F22" s="25"/>
      <c r="G22" s="19"/>
      <c r="H22" s="16" t="n">
        <f aca="false">SUM(H11:H21)</f>
        <v>18000000</v>
      </c>
      <c r="I22" s="17"/>
    </row>
    <row r="23" customFormat="false" ht="21.75" hidden="false" customHeight="true" outlineLevel="0" collapsed="false">
      <c r="A23" s="9" t="s">
        <v>28</v>
      </c>
      <c r="B23" s="9"/>
      <c r="C23" s="9"/>
      <c r="D23" s="9"/>
      <c r="E23" s="15" t="s">
        <v>26</v>
      </c>
      <c r="F23" s="15"/>
      <c r="G23" s="15"/>
      <c r="H23" s="16" t="n">
        <f aca="false">H22</f>
        <v>18000000</v>
      </c>
      <c r="I23" s="17"/>
    </row>
    <row r="25" customFormat="false" ht="14.15" hidden="false" customHeight="false" outlineLevel="0" collapsed="false">
      <c r="A25" s="20" t="s">
        <v>30</v>
      </c>
      <c r="B25" s="20"/>
      <c r="C25" s="20"/>
      <c r="D25" s="20"/>
      <c r="E25" s="20"/>
      <c r="F25" s="20"/>
      <c r="G25" s="20"/>
      <c r="H25" s="20"/>
      <c r="I25" s="20"/>
    </row>
    <row r="26" customFormat="false" ht="14.15" hidden="false" customHeight="false" outlineLevel="0" collapsed="false">
      <c r="A26" s="20" t="s">
        <v>31</v>
      </c>
      <c r="B26" s="20"/>
      <c r="C26" s="20"/>
      <c r="D26" s="20"/>
      <c r="E26" s="20"/>
      <c r="F26" s="20"/>
      <c r="G26" s="20"/>
      <c r="H26" s="20"/>
      <c r="I26" s="20"/>
    </row>
    <row r="27" customFormat="false" ht="14.15" hidden="false" customHeight="false" outlineLevel="0" collapsed="false">
      <c r="A27" s="20" t="s">
        <v>32</v>
      </c>
      <c r="B27" s="20"/>
      <c r="C27" s="20"/>
      <c r="D27" s="20"/>
      <c r="E27" s="20"/>
      <c r="F27" s="20"/>
      <c r="G27" s="20"/>
      <c r="H27" s="20"/>
      <c r="I27" s="20"/>
    </row>
    <row r="29" customFormat="false" ht="15" hidden="false" customHeight="false" outlineLevel="0" collapsed="false">
      <c r="A29" s="26" t="s">
        <v>65</v>
      </c>
    </row>
  </sheetData>
  <mergeCells count="14">
    <mergeCell ref="A1:I2"/>
    <mergeCell ref="A4:C4"/>
    <mergeCell ref="G4:I4"/>
    <mergeCell ref="A5:C5"/>
    <mergeCell ref="G5:I5"/>
    <mergeCell ref="A8:I8"/>
    <mergeCell ref="A10:C10"/>
    <mergeCell ref="A11:B17"/>
    <mergeCell ref="A18:B21"/>
    <mergeCell ref="A23:D23"/>
    <mergeCell ref="E23:G23"/>
    <mergeCell ref="A25:I25"/>
    <mergeCell ref="A26:I26"/>
    <mergeCell ref="A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13" min="3" style="0" width="6"/>
  </cols>
  <sheetData>
    <row r="1" customFormat="false" ht="19.4" hidden="false" customHeight="false" outlineLevel="0" collapsed="false">
      <c r="A1" s="27" t="s">
        <v>112</v>
      </c>
    </row>
    <row r="3" customFormat="false" ht="15" hidden="false" customHeight="false" outlineLevel="0" collapsed="false">
      <c r="A3" s="28" t="s">
        <v>113</v>
      </c>
      <c r="B3" s="28" t="s">
        <v>114</v>
      </c>
      <c r="C3" s="15" t="s">
        <v>115</v>
      </c>
      <c r="D3" s="15" t="s">
        <v>116</v>
      </c>
      <c r="E3" s="15" t="s">
        <v>117</v>
      </c>
      <c r="F3" s="15" t="s">
        <v>118</v>
      </c>
      <c r="G3" s="15" t="s">
        <v>119</v>
      </c>
      <c r="H3" s="15" t="s">
        <v>120</v>
      </c>
      <c r="I3" s="15" t="s">
        <v>121</v>
      </c>
      <c r="J3" s="15" t="s">
        <v>122</v>
      </c>
      <c r="K3" s="15" t="s">
        <v>123</v>
      </c>
      <c r="L3" s="15" t="s">
        <v>124</v>
      </c>
      <c r="M3" s="15" t="s">
        <v>125</v>
      </c>
    </row>
    <row r="4" customFormat="false" ht="15" hidden="false" customHeight="false" outlineLevel="0" collapsed="false">
      <c r="A4" s="29" t="s">
        <v>126</v>
      </c>
      <c r="B4" s="29" t="s">
        <v>127</v>
      </c>
      <c r="C4" s="30"/>
      <c r="D4" s="30"/>
      <c r="E4" s="30"/>
      <c r="F4" s="31"/>
      <c r="G4" s="31"/>
      <c r="H4" s="31"/>
      <c r="I4" s="31"/>
      <c r="J4" s="31"/>
      <c r="K4" s="31"/>
      <c r="L4" s="31"/>
      <c r="M4" s="31"/>
    </row>
    <row r="5" customFormat="false" ht="15" hidden="false" customHeight="false" outlineLevel="0" collapsed="false">
      <c r="A5" s="29" t="s">
        <v>128</v>
      </c>
      <c r="B5" s="29" t="s">
        <v>129</v>
      </c>
      <c r="C5" s="31"/>
      <c r="D5" s="31"/>
      <c r="E5" s="31"/>
      <c r="F5" s="30"/>
      <c r="G5" s="31"/>
      <c r="H5" s="31"/>
      <c r="I5" s="31"/>
      <c r="J5" s="31"/>
      <c r="K5" s="31"/>
      <c r="L5" s="31"/>
      <c r="M5" s="31"/>
    </row>
    <row r="6" customFormat="false" ht="15" hidden="false" customHeight="false" outlineLevel="0" collapsed="false">
      <c r="A6" s="29" t="s">
        <v>130</v>
      </c>
      <c r="B6" s="29" t="s">
        <v>131</v>
      </c>
      <c r="C6" s="31"/>
      <c r="D6" s="31"/>
      <c r="E6" s="31"/>
      <c r="F6" s="31"/>
      <c r="G6" s="30"/>
      <c r="H6" s="30"/>
      <c r="I6" s="31"/>
      <c r="J6" s="31"/>
      <c r="K6" s="31"/>
      <c r="L6" s="31"/>
      <c r="M6" s="31"/>
    </row>
    <row r="7" customFormat="false" ht="15" hidden="false" customHeight="false" outlineLevel="0" collapsed="false">
      <c r="A7" s="29" t="s">
        <v>132</v>
      </c>
      <c r="B7" s="29" t="s">
        <v>129</v>
      </c>
      <c r="C7" s="31"/>
      <c r="D7" s="31"/>
      <c r="E7" s="31"/>
      <c r="F7" s="31"/>
      <c r="G7" s="31"/>
      <c r="H7" s="31"/>
      <c r="I7" s="30"/>
      <c r="J7" s="30"/>
      <c r="K7" s="31"/>
      <c r="L7" s="31"/>
      <c r="M7" s="31"/>
    </row>
    <row r="8" customFormat="false" ht="15" hidden="false" customHeight="false" outlineLevel="0" collapsed="false">
      <c r="A8" s="29" t="s">
        <v>133</v>
      </c>
      <c r="B8" s="29" t="s">
        <v>134</v>
      </c>
      <c r="C8" s="31"/>
      <c r="D8" s="31"/>
      <c r="E8" s="31"/>
      <c r="F8" s="31"/>
      <c r="G8" s="31"/>
      <c r="H8" s="31"/>
      <c r="I8" s="31"/>
      <c r="J8" s="31"/>
      <c r="K8" s="30"/>
      <c r="L8" s="30"/>
      <c r="M8" s="30"/>
    </row>
    <row r="10" customFormat="false" ht="15" hidden="false" customHeight="false" outlineLevel="0" collapsed="false">
      <c r="A10" s="26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2026-10-12T14:45:54Z</dcterms:created>
  <dc:creator>openpyxl</dc:creator>
  <dc:description/>
  <dc:language>en-US</dc:language>
  <cp:lastModifiedBy/>
  <dcterms:modified xsi:type="dcterms:W3CDTF">2026-10-12T14:45:54Z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