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<sst xmlns="http://schemas.openxmlformats.org/spreadsheetml/2006/main" count="1223" uniqueCount="423">
  <si>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</si>
  <si>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</si>
  <si>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</si>
  <si>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</si>
  <si>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</si>
  <si>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</si>
  <si>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</si>
  <si>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</si>
  <si>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</si>
  <si>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</si>
  <si>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</si>
  <si>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</si>
  <si>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</si>
  <si>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</si>
  <si>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</si>
  <si>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</si>
  <si>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</si>
  <si>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</si>
  <si>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</si>
  <si>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</si>
  <si>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</si>
  <si>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</si>
  <si>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</si>
  <si>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</si>
  <si>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</si>
  <si>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</si>
  <si>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</si>
  <si>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</si>
  <si>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</si>
  <si>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</si>
  <si>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</si>
  <si>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</si>
  <si>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</si>
  <si>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</si>
  <si>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</si>
  <si>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</si>
  <si>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</si>
  <si>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</si>
  <si>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</si>
  <si>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</si>
  <si>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</si>
  <si>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</si>
  <si>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</si>
  <si>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</si>
  <si>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</si>
  <si>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</si>
  <si>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</si>
  <si>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</si>
  <si>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</si>
  <si>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</si>
  <si>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</si>
  <si>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</si>
  <si>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</si>
  <si>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</si>
  <si>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크레인 변경에 따른 추가비용은 없음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</si>
  <si>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</si>
  <si>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작업은 공정에 따라 당사가 수행하며 추가 정산하지 않음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기상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우천 시 용접 불가</t>
    </r>
    <r>
      <rPr>
        <sz val="9"/>
        <color rgb="FF000000"/>
        <rFont val="맑은 고딕"/>
        <family val="0"/>
        <charset val="1"/>
      </rPr>
      <t xml:space="preserve">)·</t>
    </r>
    <r>
      <rPr>
        <sz val="9"/>
        <color rgb="FF000000"/>
        <rFont val="WenQuanYi Zen Hei"/>
        <family val="2"/>
      </rPr>
      <t xml:space="preserve">발주처 사유에 따른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</si>
  <si>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</si>
  <si>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</si>
  <si>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</si>
  <si>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</si>
  <si>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</si>
  <si>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</si>
  <si>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</si>
  <si>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</si>
  <si>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</si>
  <si>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</si>
  <si>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</si>
  <si>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</si>
  <si>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</si>
  <si>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</si>
  <si>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</si>
  <si>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</si>
  <si>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</si>
  <si>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</si>
  <si>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</si>
  <si>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</si>
  <si>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</si>
  <si>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</si>
  <si>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</si>
  <si>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</si>
  <si>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</si>
  <si>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</si>
  <si>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</si>
  <si>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</si>
  <si>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</si>
  <si>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단독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</si>
  <si>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</si>
  <si>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</si>
  <si>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현장 보강보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기구물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</si>
  <si>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</si>
  <si>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</si>
  <si>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</si>
  <si>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</si>
  <si>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</si>
  <si>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</si>
  <si>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</si>
  <si>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</si>
  <si>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</si>
  <si>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</si>
  <si>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</si>
  <si>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</si>
  <si>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</si>
  <si>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</si>
  <si>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</si>
  <si>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(6 + 6 + 3)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</si>
  <si>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</si>
  <si>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</si>
  <si>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</si>
  <si>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</si>
  <si>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</si>
  <si>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</si>
  <si>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</si>
  <si>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</si>
  <si>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</si>
  <si>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</si>
  <si>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</si>
  <si>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</si>
  <si>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</si>
  <si>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</si>
  <si>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</si>
  <si>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</si>
  <si>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</si>
  <si>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</si>
  <si>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</si>
  <si>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</si>
  <si>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</si>
  <si>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</si>
  <si>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</si>
  <si>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</si>
  <si>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</si>
  <si>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</si>
  <si>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</si>
  <si>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</si>
  <si>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</si>
  <si>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</si>
  <si>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</si>
  <si>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수량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사용자 제시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</si>
  <si>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</si>
  <si>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설치 인건비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</si>
  <si>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</si>
  <si>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</si>
  <si>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</si>
  <si>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</si>
  <si>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</si>
  <si>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출입통제 안전장비</t>
  </si>
  <si>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 등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</si>
  <si>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600,000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</si>
  <si>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</si>
  <si>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</si>
  <si>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</si>
  <si>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</si>
  <si>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</si>
  <si>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</si>
  <si>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</si>
  <si>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</si>
  <si>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</si>
  <si>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</si>
  <si>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</si>
  <si>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</si>
  <si>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</si>
  <si>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</si>
  <si>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</si>
  <si>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</si>
  <si>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</si>
  <si>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t xml:space="preserve">조공</t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</si>
  <si>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</si>
  <si>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</si>
  <si>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</si>
  <si>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</si>
  <si>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</si>
  <si>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</si>
  <si>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</si>
  <si>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</si>
  <si>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</si>
  <si>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</si>
  <si>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</si>
  <si>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</si>
  <si>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</si>
  <si>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</si>
  <si>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t xml:space="preserve">작업발판 장비 임대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</si>
  <si>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</si>
  <si>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가스절단기 임대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</si>
  <si>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·LPG, 2</t>
    </r>
    <r>
      <rPr>
        <sz val="10"/>
        <color rgb="FF000000"/>
        <rFont val="WenQuanYi Zen Hei"/>
        <family val="2"/>
      </rPr>
      <t xml:space="preserve">대 공정기간 상시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</si>
  <si>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</si>
  <si>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식대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부대 잡비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</si>
  <si>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기준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</si>
  <si>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</si>
  <si>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</si>
  <si>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</si>
  <si>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</si>
  <si>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</si>
  <si>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</si>
  <si>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</si>
  <si>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</si>
  <si>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</si>
  <si>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</si>
  <si>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</si>
  <si>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</si>
  <si>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</si>
  <si>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</si>
  <si>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</si>
  <si>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</si>
  <si>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</si>
  <si>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</si>
  <si>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</si>
  <si>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</si>
  <si>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</si>
  <si>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</si>
  <si>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</si>
  <si>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</si>
  <si>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</si>
  <si>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</si>
  <si>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</si>
  <si>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기준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</si>
  <si>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</si>
  <si>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</si>
  <si>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</si>
  <si>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(6 + 6 + 3 + 6)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</si>
  <si>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(2026-10-12: 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+ 6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</si>
  <si>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</si>
  <si>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</si>
  <si>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</si>
  <si>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</si>
  <si>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</si>
  <si>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</si>
  <si>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</si>
  <si>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</si>
  <si>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</si>
  <si>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</si>
  <si>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</si>
  <si>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</si>
  <si>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</si>
  <si>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</si>
  <si>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</si>
  <si>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</si>
  <si>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</si>
  <si>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</si>
  <si>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</si>
  <si>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t xml:space="preserve">보강보</t>
  </si>
  <si>
    <r>
      <rPr>
        <sz val="10"/>
        <color rgb="FF000000"/>
        <rFont val="맑은 고딕"/>
        <family val="0"/>
        <charset val="1"/>
      </rPr>
      <t xml:space="preserve">H-200</t>
    </r>
    <r>
      <rPr>
        <sz val="10"/>
        <color rgb="FF000000"/>
        <rFont val="WenQuanYi Zen Hei"/>
        <family val="2"/>
      </rPr>
      <t xml:space="preserve">급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 (</t>
    </r>
    <r>
      <rPr>
        <sz val="10"/>
        <color rgb="FF000000"/>
        <rFont val="WenQuanYi Zen Hei"/>
        <family val="2"/>
      </rPr>
      <t xml:space="preserve">현장 보유 강재 사용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</si>
  <si>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2026-10-12: </t>
    </r>
    <r>
      <rPr>
        <sz val="10"/>
        <color rgb="FF000000"/>
        <rFont val="WenQuanYi Zen Hei"/>
        <family val="2"/>
      </rPr>
      <t xml:space="preserve">현장에 있는 강재 사용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</si>
  <si>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</si>
  <si>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</si>
  <si>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</si>
  <si>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</si>
  <si>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</si>
  <si>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</si>
  <si>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</si>
  <si>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</si>
  <si>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</si>
  <si>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</si>
  <si>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</si>
  <si>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</si>
  <si>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</si>
  <si>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기준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</si>
  <si>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</si>
  <si>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</si>
  <si>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</si>
  <si>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</si>
  <si>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</si>
  <si>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</si>
  <si>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</si>
  <si>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</si>
  <si>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(6, 6, 3)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</si>
  <si>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</si>
  <si>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</si>
  <si>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</si>
  <si>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</si>
  <si>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</si>
  <si>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</si>
  <si>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</si>
  <si>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</si>
  <si>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</si>
  <si>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</si>
  <si>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</si>
  <si>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</si>
  <si>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</si>
  <si>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</si>
  <si>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</si>
  <si>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</si>
  <si>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</si>
  <si>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</si>
  <si>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</si>
  <si>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</si>
  <si>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</si>
  <si>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15.0%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</si>
  <si>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</si>
  <si>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</si>
  <si>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</si>
  <si>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휴일 작업은 공정에 따라 당사가 수행함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추가 정산 없음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</si>
  <si>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</si>
  <si>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</si>
  <si>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</si>
  <si>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</si>
  <si>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</si>
  <si>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</si>
  <si>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</si>
  <si>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9 +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6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</si>
  <si>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</si>
  <si>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</si>
  <si>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</si>
  <si>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</si>
  <si>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</si>
  <si>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</si>
  <si>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</si>
  <si>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6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 (</t>
    </r>
    <r>
      <rPr>
        <sz val="10"/>
        <color rgb="FF000000"/>
        <rFont val="WenQuanYi Zen Hei"/>
        <family val="2"/>
      </rPr>
      <t xml:space="preserve">가스절단기는 용접 공종에 계상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</si>
  <si>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단독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</si>
  <si>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(6, 6, 3) + </t>
    </r>
    <r>
      <rPr>
        <sz val="10"/>
        <color rgb="FF000000"/>
        <rFont val="WenQuanYi Zen Hei"/>
        <family val="2"/>
      </rPr>
      <t xml:space="preserve">회전일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</si>
  <si>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</si>
  <si>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</si>
  <si>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</si>
  <si>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</si>
  <si>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r>
      <rPr>
        <sz val="10"/>
        <color rgb="FF000000"/>
        <rFont val="맑은 고딕"/>
        <family val="0"/>
        <charset val="1"/>
      </rPr>
      <t xml:space="preserve">200t </t>
    </r>
    <r>
      <rPr>
        <sz val="10"/>
        <color rgb="FF000000"/>
        <rFont val="WenQuanYi Zen Hei"/>
        <family val="2"/>
      </rPr>
      <t xml:space="preserve">단독 회전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</si>
  <si>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</si>
  <si>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</si>
  <si>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</si>
  <si>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</si>
  <si>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현장 보유 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기구물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복원</t>
    </r>
  </si>
  <si>
    <r>
      <rPr>
        <sz val="10"/>
        <color rgb="FF000000"/>
        <rFont val="WenQuanYi Zen Hei"/>
        <family val="2"/>
      </rPr>
      <t xml:space="preserve">현장 보유분 사용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자재비 미계상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</si>
  <si>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</si>
  <si>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</si>
  <si>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</si>
  <si>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1), </t>
    </r>
    <r>
      <rPr>
        <sz val="10"/>
        <color rgb="FF000000"/>
        <rFont val="WenQuanYi Zen Hei"/>
        <family val="2"/>
      </rPr>
      <t xml:space="preserve">사용자 지정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</si>
  <si>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개조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절단기 임대는 용접 공종에 계상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</si>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</sst>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n">
        <f aca="false">원가계산서!E18</f>
        <v>78861200</v>
      </c>
      <c r="D16" s="12"/>
      <c r="E16" s="12"/>
      <c r="F16" s="12"/>
      <c r="G16" s="12"/>
      <c r="H16" s="12"/>
      <c r="I16" s="12"/>
    </row>
    <row r="18" customFormat="false" ht="15" hidden="false" customHeight="true" outlineLevel="0" collapsed="false">
      <c r="A18" s="13" t="s">
        <v>30</v>
      </c>
      <c r="B18" s="14" t="s">
        <v>31</v>
      </c>
      <c r="C18" s="14"/>
      <c r="D18" s="14" t="s">
        <v>32</v>
      </c>
      <c r="E18" s="14"/>
      <c r="F18" s="14"/>
      <c r="G18" s="14" t="s">
        <v>33</v>
      </c>
      <c r="H18" s="14" t="s">
        <v>34</v>
      </c>
      <c r="I18" s="14" t="s">
        <v>35</v>
      </c>
    </row>
    <row r="19" customFormat="false" ht="24" hidden="false" customHeight="true" outlineLevel="0" collapsed="false">
      <c r="A19" s="15" t="s">
        <v>36</v>
      </c>
      <c r="B19" s="16" t="s">
        <v>37</v>
      </c>
      <c r="C19" s="16"/>
      <c r="D19" s="8" t="s">
        <v>38</v>
      </c>
      <c r="E19" s="8"/>
      <c r="F19" s="8"/>
      <c r="G19" s="16" t="s">
        <v>39</v>
      </c>
      <c r="H19" s="17" t="n">
        <f aca="false">도비!$G$32</f>
        <v>24522000</v>
      </c>
      <c r="I19" s="8" t="s">
        <v>40</v>
      </c>
    </row>
    <row r="20" customFormat="false" ht="24" hidden="false" customHeight="true" outlineLevel="0" collapsed="false">
      <c r="A20" s="15" t="s">
        <v>41</v>
      </c>
      <c r="B20" s="16" t="s">
        <v>42</v>
      </c>
      <c r="C20" s="16"/>
      <c r="D20" s="8" t="s">
        <v>43</v>
      </c>
      <c r="E20" s="8"/>
      <c r="F20" s="8"/>
      <c r="G20" s="16" t="s">
        <v>39</v>
      </c>
      <c r="H20" s="17" t="n">
        <f aca="false">용접!$G$29</f>
        <v>27721000</v>
      </c>
      <c r="I20" s="8" t="s">
        <v>44</v>
      </c>
    </row>
    <row r="21" customFormat="false" ht="24" hidden="false" customHeight="true" outlineLevel="0" collapsed="false">
      <c r="A21" s="15" t="s">
        <v>45</v>
      </c>
      <c r="B21" s="16" t="s">
        <v>46</v>
      </c>
      <c r="C21" s="16"/>
      <c r="D21" s="8" t="s">
        <v>47</v>
      </c>
      <c r="E21" s="8"/>
      <c r="F21" s="8"/>
      <c r="G21" s="16" t="s">
        <v>39</v>
      </c>
      <c r="H21" s="17" t="n">
        <f aca="false">베이스!$G$31</f>
        <v>19449000</v>
      </c>
      <c r="I21" s="8" t="s">
        <v>48</v>
      </c>
    </row>
    <row r="22" customFormat="false" ht="24" hidden="false" customHeight="true" outlineLevel="0" collapsed="false">
      <c r="A22" s="3" t="s">
        <v>49</v>
      </c>
      <c r="B22" s="3"/>
      <c r="C22" s="3"/>
      <c r="D22" s="3"/>
      <c r="E22" s="3"/>
      <c r="F22" s="3"/>
      <c r="G22" s="3"/>
      <c r="H22" s="18" t="n">
        <f aca="false">SUM(H19:H21)</f>
        <v>71692000</v>
      </c>
      <c r="I22" s="19"/>
    </row>
    <row r="23" customFormat="false" ht="24" hidden="false" customHeight="true" outlineLevel="0" collapsed="false">
      <c r="A23" s="3" t="s">
        <v>50</v>
      </c>
      <c r="B23" s="3"/>
      <c r="C23" s="3"/>
      <c r="D23" s="3"/>
      <c r="E23" s="3"/>
      <c r="F23" s="3"/>
      <c r="G23" s="3"/>
      <c r="H23" s="18" t="n">
        <f aca="false">H22*0.1</f>
        <v>7169200</v>
      </c>
      <c r="I23" s="19"/>
    </row>
    <row r="24" customFormat="false" ht="24" hidden="false" customHeight="true" outlineLevel="0" collapsed="false">
      <c r="A24" s="20" t="s">
        <v>51</v>
      </c>
      <c r="B24" s="20"/>
      <c r="C24" s="20"/>
      <c r="D24" s="20"/>
      <c r="E24" s="20"/>
      <c r="F24" s="20"/>
      <c r="G24" s="20"/>
      <c r="H24" s="21" t="n">
        <f aca="false">H22+H23</f>
        <v>78861200</v>
      </c>
      <c r="I24" s="7"/>
    </row>
    <row r="26" customFormat="false" ht="15" hidden="false" customHeight="false" outlineLevel="0" collapsed="false">
      <c r="A26" s="22" t="s">
        <v>52</v>
      </c>
    </row>
    <row r="27" customFormat="false" ht="18" hidden="false" customHeight="true" outlineLevel="0" collapsed="false">
      <c r="A27" s="23" t="s">
        <v>53</v>
      </c>
      <c r="B27" s="23"/>
      <c r="C27" s="23"/>
      <c r="D27" s="23"/>
      <c r="E27" s="23"/>
      <c r="F27" s="23"/>
      <c r="G27" s="23"/>
      <c r="H27" s="23"/>
      <c r="I27" s="23"/>
    </row>
    <row r="28" customFormat="false" ht="18" hidden="false" customHeight="true" outlineLevel="0" collapsed="false">
      <c r="A28" s="23" t="s">
        <v>54</v>
      </c>
      <c r="B28" s="23"/>
      <c r="C28" s="23"/>
      <c r="D28" s="23"/>
      <c r="E28" s="23"/>
      <c r="F28" s="23"/>
      <c r="G28" s="23"/>
      <c r="H28" s="23"/>
      <c r="I28" s="23"/>
    </row>
    <row r="29" customFormat="false" ht="18" hidden="false" customHeight="true" outlineLevel="0" collapsed="false">
      <c r="A29" s="23" t="s">
        <v>55</v>
      </c>
      <c r="B29" s="23"/>
      <c r="C29" s="23"/>
      <c r="D29" s="23"/>
      <c r="E29" s="23"/>
      <c r="F29" s="23"/>
      <c r="G29" s="23"/>
      <c r="H29" s="23"/>
      <c r="I29" s="23"/>
    </row>
    <row r="30" customFormat="false" ht="18" hidden="false" customHeight="true" outlineLevel="0" collapsed="false">
      <c r="A30" s="23" t="s">
        <v>56</v>
      </c>
      <c r="B30" s="23"/>
      <c r="C30" s="23"/>
      <c r="D30" s="23"/>
      <c r="E30" s="23"/>
      <c r="F30" s="23"/>
      <c r="G30" s="23"/>
      <c r="H30" s="23"/>
      <c r="I30" s="23"/>
    </row>
    <row r="31" customFormat="false" ht="18" hidden="false" customHeight="true" outlineLevel="0" collapsed="false">
      <c r="A31" s="23" t="s">
        <v>57</v>
      </c>
      <c r="B31" s="23"/>
      <c r="C31" s="23"/>
      <c r="D31" s="23"/>
      <c r="E31" s="23"/>
      <c r="F31" s="23"/>
      <c r="G31" s="23"/>
      <c r="H31" s="23"/>
      <c r="I31" s="23"/>
    </row>
    <row r="32" customFormat="false" ht="18" hidden="false" customHeight="true" outlineLevel="0" collapsed="false">
      <c r="A32" s="23" t="s">
        <v>58</v>
      </c>
      <c r="B32" s="23"/>
      <c r="C32" s="23"/>
      <c r="D32" s="23"/>
      <c r="E32" s="23"/>
      <c r="F32" s="23"/>
      <c r="G32" s="23"/>
      <c r="H32" s="23"/>
      <c r="I32" s="23"/>
    </row>
    <row r="34" customFormat="false" ht="15" hidden="false" customHeight="false" outlineLevel="0" collapsed="false">
      <c r="A34" s="24" t="s">
        <v>59</v>
      </c>
    </row>
  </sheetData>
  <mergeCells count="33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5" t="s">
        <v>60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</row>
    <row r="3" customFormat="false" ht="15" hidden="false" customHeight="true" outlineLevel="0" collapsed="false">
      <c r="A3" s="26" t="s">
        <v>61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14" t="s">
        <v>62</v>
      </c>
      <c r="B5" s="14" t="s">
        <v>63</v>
      </c>
      <c r="C5" s="14" t="s">
        <v>64</v>
      </c>
      <c r="D5" s="14" t="s">
        <v>65</v>
      </c>
      <c r="E5" s="14" t="s">
        <v>66</v>
      </c>
      <c r="F5" s="14" t="s">
        <v>67</v>
      </c>
    </row>
    <row r="6" customFormat="false" ht="21.75" hidden="false" customHeight="true" outlineLevel="0" collapsed="false">
      <c r="A6" s="27" t="s">
        <v>68</v>
      </c>
      <c r="B6" s="17" t="n">
        <f aca="false">도비!$G$22</f>
        <v>1380000</v>
      </c>
      <c r="C6" s="17" t="n">
        <f aca="false">용접!$G$19</f>
        <v>3680000</v>
      </c>
      <c r="D6" s="17" t="n">
        <f aca="false">베이스!$G$21</f>
        <v>8733700</v>
      </c>
      <c r="E6" s="28" t="n">
        <f aca="false">SUM(B6:D6)</f>
        <v>13793700</v>
      </c>
      <c r="F6" s="29" t="n">
        <f aca="false">E6/$E$16</f>
        <v>0.192402220610389</v>
      </c>
    </row>
    <row r="7" customFormat="false" ht="21.75" hidden="false" customHeight="true" outlineLevel="0" collapsed="false">
      <c r="A7" s="27" t="s">
        <v>69</v>
      </c>
      <c r="B7" s="17" t="n">
        <f aca="false">도비!$G$23</f>
        <v>6480000</v>
      </c>
      <c r="C7" s="17" t="n">
        <f aca="false">용접!$G$20</f>
        <v>9850000</v>
      </c>
      <c r="D7" s="17" t="n">
        <f aca="false">베이스!$G$22</f>
        <v>4950000</v>
      </c>
      <c r="E7" s="28" t="n">
        <f aca="false">SUM(B7:D7)</f>
        <v>21280000</v>
      </c>
      <c r="F7" s="29" t="n">
        <f aca="false">E7/$E$16</f>
        <v>0.296825308263126</v>
      </c>
    </row>
    <row r="8" customFormat="false" ht="21.75" hidden="false" customHeight="true" outlineLevel="0" collapsed="false">
      <c r="A8" s="27" t="s">
        <v>70</v>
      </c>
      <c r="B8" s="17" t="n">
        <f aca="false">도비!$G$24</f>
        <v>12070000</v>
      </c>
      <c r="C8" s="17" t="n">
        <f aca="false">용접!$G$21</f>
        <v>9000000</v>
      </c>
      <c r="D8" s="17" t="n">
        <f aca="false">베이스!$G$23</f>
        <v>2850000</v>
      </c>
      <c r="E8" s="28" t="n">
        <f aca="false">SUM(B8:D8)</f>
        <v>23920000</v>
      </c>
      <c r="F8" s="29" t="n">
        <f aca="false">E8/$E$16</f>
        <v>0.333649500641634</v>
      </c>
    </row>
    <row r="9" customFormat="false" ht="21.75" hidden="false" customHeight="true" outlineLevel="0" collapsed="false">
      <c r="A9" s="27" t="s">
        <v>71</v>
      </c>
      <c r="B9" s="17" t="n">
        <f aca="false">도비!$G$25</f>
        <v>230688</v>
      </c>
      <c r="C9" s="17" t="n">
        <f aca="false">용접!$G$22</f>
        <v>350660</v>
      </c>
      <c r="D9" s="17" t="n">
        <f aca="false">베이스!$G$24</f>
        <v>176220</v>
      </c>
      <c r="E9" s="28" t="n">
        <f aca="false">SUM(B9:D9)</f>
        <v>757568</v>
      </c>
      <c r="F9" s="29" t="n">
        <f aca="false">E9/$E$16</f>
        <v>0.0105669809741673</v>
      </c>
    </row>
    <row r="10" customFormat="false" ht="21.75" hidden="false" customHeight="true" outlineLevel="0" collapsed="false">
      <c r="A10" s="27" t="s">
        <v>72</v>
      </c>
      <c r="B10" s="17" t="n">
        <f aca="false">도비!$G$26</f>
        <v>74520</v>
      </c>
      <c r="C10" s="17" t="n">
        <f aca="false">용접!$G$23</f>
        <v>113275</v>
      </c>
      <c r="D10" s="17" t="n">
        <f aca="false">베이스!$G$25</f>
        <v>56925</v>
      </c>
      <c r="E10" s="28" t="n">
        <f aca="false">SUM(B10:D10)</f>
        <v>244720</v>
      </c>
      <c r="F10" s="29" t="n">
        <f aca="false">E10/$E$16</f>
        <v>0.00341349104502594</v>
      </c>
    </row>
    <row r="11" customFormat="false" ht="21.75" hidden="false" customHeight="true" outlineLevel="0" collapsed="false">
      <c r="A11" s="27" t="s">
        <v>73</v>
      </c>
      <c r="B11" s="17" t="n">
        <f aca="false">도비!$G$27</f>
        <v>244446</v>
      </c>
      <c r="C11" s="17" t="n">
        <f aca="false">용접!$G$24</f>
        <v>420783</v>
      </c>
      <c r="D11" s="17" t="n">
        <f aca="false">베이스!$G$26</f>
        <v>425563.07</v>
      </c>
      <c r="E11" s="28" t="n">
        <f aca="false">SUM(B11:D11)</f>
        <v>1090792.07</v>
      </c>
      <c r="F11" s="29" t="n">
        <f aca="false">E11/$E$16</f>
        <v>0.0152149761479663</v>
      </c>
    </row>
    <row r="12" customFormat="false" ht="21.75" hidden="false" customHeight="true" outlineLevel="0" collapsed="false">
      <c r="A12" s="3" t="s">
        <v>74</v>
      </c>
      <c r="B12" s="30" t="n">
        <f aca="false">도비!$G$28</f>
        <v>20479654</v>
      </c>
      <c r="C12" s="30" t="n">
        <f aca="false">용접!$G$25</f>
        <v>23414718</v>
      </c>
      <c r="D12" s="30" t="n">
        <f aca="false">베이스!$G$27</f>
        <v>17192408.07</v>
      </c>
      <c r="E12" s="18" t="n">
        <f aca="false">SUM(B12:D12)</f>
        <v>61086780.07</v>
      </c>
      <c r="F12" s="31" t="n">
        <f aca="false">E12/$E$16</f>
        <v>0.852072477682308</v>
      </c>
    </row>
    <row r="13" customFormat="false" ht="21.75" hidden="false" customHeight="true" outlineLevel="0" collapsed="false">
      <c r="A13" s="27" t="s">
        <v>75</v>
      </c>
      <c r="B13" s="17" t="n">
        <f aca="false">도비!$G$29</f>
        <v>1023982.7</v>
      </c>
      <c r="C13" s="17" t="n">
        <f aca="false">용접!$G$26</f>
        <v>1170735.9</v>
      </c>
      <c r="D13" s="17" t="n">
        <f aca="false">베이스!$G$28</f>
        <v>859620.4035</v>
      </c>
      <c r="E13" s="28" t="n">
        <f aca="false">SUM(B13:D13)</f>
        <v>3054339.0035</v>
      </c>
      <c r="F13" s="29" t="n">
        <f aca="false">E13/$E$16</f>
        <v>0.0426036238841154</v>
      </c>
    </row>
    <row r="14" customFormat="false" ht="21.75" hidden="false" customHeight="true" outlineLevel="0" collapsed="false">
      <c r="A14" s="27" t="s">
        <v>76</v>
      </c>
      <c r="B14" s="17" t="n">
        <f aca="false">도비!$G$30</f>
        <v>3018545.505</v>
      </c>
      <c r="C14" s="17" t="n">
        <f aca="false">용접!$G$27</f>
        <v>3135818.085</v>
      </c>
      <c r="D14" s="17" t="n">
        <f aca="false">베이스!$G$29</f>
        <v>1397749.271025</v>
      </c>
      <c r="E14" s="28" t="n">
        <f aca="false">SUM(B14:D14)</f>
        <v>7552112.861025</v>
      </c>
      <c r="F14" s="29" t="n">
        <f aca="false">E14/$E$16</f>
        <v>0.105341082143405</v>
      </c>
    </row>
    <row r="15" customFormat="false" ht="21.75" hidden="false" customHeight="true" outlineLevel="0" collapsed="false">
      <c r="A15" s="27" t="s">
        <v>77</v>
      </c>
      <c r="B15" s="17" t="n">
        <f aca="false">도비!$G$31</f>
        <v>-182.204999998212</v>
      </c>
      <c r="C15" s="17" t="n">
        <f aca="false">용접!$G$28</f>
        <v>-271.984999999404</v>
      </c>
      <c r="D15" s="17" t="n">
        <f aca="false">베이스!$G$30</f>
        <v>-777.744524996728</v>
      </c>
      <c r="E15" s="28" t="n">
        <f aca="false">SUM(B15:D15)</f>
        <v>-1231.93452499434</v>
      </c>
      <c r="F15" s="29" t="n">
        <f aca="false">E15/$E$16</f>
        <v>-1.71837098280749E-005</v>
      </c>
    </row>
    <row r="16" customFormat="false" ht="21.75" hidden="false" customHeight="true" outlineLevel="0" collapsed="false">
      <c r="A16" s="3" t="s">
        <v>34</v>
      </c>
      <c r="B16" s="30" t="n">
        <f aca="false">도비!$G$32</f>
        <v>24522000</v>
      </c>
      <c r="C16" s="30" t="n">
        <f aca="false">용접!$G$29</f>
        <v>27721000</v>
      </c>
      <c r="D16" s="30" t="n">
        <f aca="false">베이스!$G$31</f>
        <v>19449000</v>
      </c>
      <c r="E16" s="18" t="n">
        <f aca="false">SUM(B16:D16)</f>
        <v>71692000</v>
      </c>
      <c r="F16" s="31" t="n">
        <f aca="false">E16/$E$16</f>
        <v>1</v>
      </c>
    </row>
    <row r="17" customFormat="false" ht="15" hidden="false" customHeight="false" outlineLevel="0" collapsed="false">
      <c r="A17" s="16" t="s">
        <v>78</v>
      </c>
      <c r="B17" s="32"/>
      <c r="C17" s="32"/>
      <c r="D17" s="32"/>
      <c r="E17" s="32" t="n">
        <f aca="false">E16*0.1</f>
        <v>7169200</v>
      </c>
      <c r="F17" s="32"/>
    </row>
    <row r="18" customFormat="false" ht="15" hidden="false" customHeight="false" outlineLevel="0" collapsed="false">
      <c r="A18" s="20" t="s">
        <v>79</v>
      </c>
      <c r="B18" s="21"/>
      <c r="C18" s="21"/>
      <c r="D18" s="21"/>
      <c r="E18" s="21" t="n">
        <f aca="false">E16+E17</f>
        <v>78861200</v>
      </c>
      <c r="F18" s="21"/>
    </row>
    <row r="20" customFormat="false" ht="30" hidden="false" customHeight="true" outlineLevel="0" collapsed="false">
      <c r="A20" s="33" t="s">
        <v>80</v>
      </c>
      <c r="B20" s="33"/>
      <c r="C20" s="33"/>
      <c r="D20" s="33"/>
      <c r="E20" s="33"/>
      <c r="F20" s="33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4" t="s">
        <v>81</v>
      </c>
      <c r="B1" s="34"/>
      <c r="C1" s="34"/>
      <c r="D1" s="34"/>
      <c r="E1" s="34"/>
    </row>
    <row r="3" customFormat="false" ht="26.85" hidden="false" customHeight="false" outlineLevel="0" collapsed="false">
      <c r="A3" s="14" t="s">
        <v>82</v>
      </c>
      <c r="B3" s="13" t="s">
        <v>83</v>
      </c>
      <c r="C3" s="13" t="s">
        <v>84</v>
      </c>
      <c r="D3" s="14" t="s">
        <v>85</v>
      </c>
      <c r="E3" s="14" t="s">
        <v>35</v>
      </c>
    </row>
    <row r="4" customFormat="false" ht="30" hidden="false" customHeight="true" outlineLevel="0" collapsed="false">
      <c r="A4" s="8" t="s">
        <v>63</v>
      </c>
      <c r="B4" s="17" t="n">
        <f aca="false">도비!$G$32</f>
        <v>24522000</v>
      </c>
      <c r="C4" s="17" t="n">
        <f aca="false">B_도비!$G$35</f>
        <v>33527000</v>
      </c>
      <c r="D4" s="32" t="n">
        <f aca="false">C4-B4</f>
        <v>9005000</v>
      </c>
      <c r="E4" s="4" t="s">
        <v>86</v>
      </c>
    </row>
    <row r="5" customFormat="false" ht="30" hidden="false" customHeight="true" outlineLevel="0" collapsed="false">
      <c r="A5" s="8" t="s">
        <v>64</v>
      </c>
      <c r="B5" s="17" t="n">
        <f aca="false">용접!$G$29</f>
        <v>27721000</v>
      </c>
      <c r="C5" s="17" t="n">
        <f aca="false">B_용접!$G$29</f>
        <v>27721000</v>
      </c>
      <c r="D5" s="32" t="n">
        <f aca="false">C5-B5</f>
        <v>0</v>
      </c>
      <c r="E5" s="8" t="s">
        <v>87</v>
      </c>
    </row>
    <row r="6" customFormat="false" ht="30" hidden="false" customHeight="true" outlineLevel="0" collapsed="false">
      <c r="A6" s="8" t="s">
        <v>88</v>
      </c>
      <c r="B6" s="17" t="n">
        <f aca="false">베이스!$G$31</f>
        <v>19449000</v>
      </c>
      <c r="C6" s="17" t="n">
        <f aca="false">B_조방!$G$27</f>
        <v>6422000</v>
      </c>
      <c r="D6" s="32" t="n">
        <f aca="false">C6-B6</f>
        <v>-13027000</v>
      </c>
      <c r="E6" s="4" t="s">
        <v>89</v>
      </c>
    </row>
    <row r="7" customFormat="false" ht="30" hidden="false" customHeight="true" outlineLevel="0" collapsed="false">
      <c r="A7" s="35" t="s">
        <v>90</v>
      </c>
      <c r="B7" s="21" t="n">
        <f aca="false">SUM(B4:B6)</f>
        <v>71692000</v>
      </c>
      <c r="C7" s="21" t="n">
        <f aca="false">SUM(C4:C6)</f>
        <v>67670000</v>
      </c>
      <c r="D7" s="21" t="n">
        <f aca="false">SUM(D4:D6)</f>
        <v>-4022000</v>
      </c>
      <c r="E7" s="7"/>
    </row>
    <row r="9" customFormat="false" ht="27.75" hidden="false" customHeight="true" outlineLevel="0" collapsed="false">
      <c r="A9" s="36" t="s">
        <v>91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92</v>
      </c>
      <c r="B10" s="36"/>
      <c r="C10" s="36"/>
      <c r="D10" s="36"/>
      <c r="E10" s="36"/>
    </row>
    <row r="11" customFormat="false" ht="27.75" hidden="false" customHeight="true" outlineLevel="0" collapsed="false">
      <c r="A11" s="33" t="s">
        <v>93</v>
      </c>
      <c r="B11" s="33"/>
      <c r="C11" s="33"/>
      <c r="D11" s="33"/>
      <c r="E11" s="33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7" t="s">
        <v>94</v>
      </c>
    </row>
    <row r="2" customFormat="false" ht="15" hidden="false" customHeight="false" outlineLevel="0" collapsed="false">
      <c r="A2" s="38" t="s">
        <v>95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</row>
    <row r="5" customFormat="false" ht="26.85" hidden="false" customHeight="false" outlineLevel="0" collapsed="false">
      <c r="A5" s="8" t="s">
        <v>63</v>
      </c>
      <c r="B5" s="8" t="s">
        <v>103</v>
      </c>
      <c r="C5" s="8" t="s">
        <v>104</v>
      </c>
      <c r="D5" s="4" t="s">
        <v>105</v>
      </c>
      <c r="E5" s="39" t="n">
        <f aca="false">도비!G8</f>
        <v>4500000</v>
      </c>
      <c r="F5" s="8" t="s">
        <v>106</v>
      </c>
      <c r="G5" s="8" t="s">
        <v>107</v>
      </c>
    </row>
    <row r="6" customFormat="false" ht="15" hidden="false" customHeight="false" outlineLevel="0" collapsed="false">
      <c r="A6" s="8" t="s">
        <v>63</v>
      </c>
      <c r="B6" s="8" t="s">
        <v>108</v>
      </c>
      <c r="C6" s="8" t="s">
        <v>109</v>
      </c>
      <c r="D6" s="4" t="s">
        <v>110</v>
      </c>
      <c r="E6" s="39" t="n">
        <f aca="false">도비!G9</f>
        <v>520000</v>
      </c>
      <c r="F6" s="10" t="s">
        <v>111</v>
      </c>
      <c r="G6" s="8" t="s">
        <v>112</v>
      </c>
    </row>
    <row r="7" customFormat="false" ht="26.1" hidden="false" customHeight="false" outlineLevel="0" collapsed="false">
      <c r="A7" s="8" t="s">
        <v>63</v>
      </c>
      <c r="B7" s="8" t="s">
        <v>113</v>
      </c>
      <c r="C7" s="8" t="s">
        <v>114</v>
      </c>
      <c r="D7" s="4" t="s">
        <v>115</v>
      </c>
      <c r="E7" s="39" t="n">
        <f aca="false">도비!G10</f>
        <v>960000</v>
      </c>
      <c r="F7" s="10" t="s">
        <v>111</v>
      </c>
      <c r="G7" s="4"/>
    </row>
    <row r="8" customFormat="false" ht="15" hidden="false" customHeight="false" outlineLevel="0" collapsed="false">
      <c r="A8" s="8" t="s">
        <v>63</v>
      </c>
      <c r="B8" s="8" t="s">
        <v>116</v>
      </c>
      <c r="C8" s="4" t="s">
        <v>117</v>
      </c>
      <c r="D8" s="4" t="s">
        <v>118</v>
      </c>
      <c r="E8" s="39" t="n">
        <f aca="false">도비!G11</f>
        <v>2400000</v>
      </c>
      <c r="F8" s="8" t="s">
        <v>119</v>
      </c>
      <c r="G8" s="4"/>
    </row>
    <row r="9" customFormat="false" ht="15" hidden="false" customHeight="false" outlineLevel="0" collapsed="false">
      <c r="A9" s="8" t="s">
        <v>63</v>
      </c>
      <c r="B9" s="8" t="s">
        <v>116</v>
      </c>
      <c r="C9" s="4" t="s">
        <v>120</v>
      </c>
      <c r="D9" s="4" t="s">
        <v>121</v>
      </c>
      <c r="E9" s="39" t="n">
        <f aca="false">도비!G12</f>
        <v>1700000</v>
      </c>
      <c r="F9" s="8" t="s">
        <v>119</v>
      </c>
      <c r="G9" s="4"/>
    </row>
    <row r="10" customFormat="false" ht="15" hidden="false" customHeight="false" outlineLevel="0" collapsed="false">
      <c r="A10" s="8" t="s">
        <v>63</v>
      </c>
      <c r="B10" s="8" t="s">
        <v>122</v>
      </c>
      <c r="C10" s="4" t="s">
        <v>123</v>
      </c>
      <c r="D10" s="4" t="s">
        <v>124</v>
      </c>
      <c r="E10" s="39" t="n">
        <f aca="false">도비!G13</f>
        <v>640000</v>
      </c>
      <c r="F10" s="10" t="s">
        <v>111</v>
      </c>
      <c r="G10" s="4"/>
    </row>
    <row r="11" customFormat="false" ht="15" hidden="false" customHeight="false" outlineLevel="0" collapsed="false">
      <c r="A11" s="8" t="s">
        <v>63</v>
      </c>
      <c r="B11" s="8" t="s">
        <v>125</v>
      </c>
      <c r="C11" s="8" t="s">
        <v>126</v>
      </c>
      <c r="D11" s="4" t="s">
        <v>127</v>
      </c>
      <c r="E11" s="39" t="n">
        <f aca="false">도비!G14</f>
        <v>2000000</v>
      </c>
      <c r="F11" s="10" t="s">
        <v>111</v>
      </c>
      <c r="G11" s="4"/>
    </row>
    <row r="12" customFormat="false" ht="15" hidden="false" customHeight="false" outlineLevel="0" collapsed="false">
      <c r="A12" s="8" t="s">
        <v>63</v>
      </c>
      <c r="B12" s="8" t="s">
        <v>128</v>
      </c>
      <c r="C12" s="8" t="s">
        <v>129</v>
      </c>
      <c r="D12" s="4" t="s">
        <v>130</v>
      </c>
      <c r="E12" s="39" t="n">
        <f aca="false">도비!G15</f>
        <v>3000000</v>
      </c>
      <c r="F12" s="8" t="s">
        <v>131</v>
      </c>
      <c r="G12" s="4"/>
    </row>
    <row r="13" customFormat="false" ht="15" hidden="false" customHeight="false" outlineLevel="0" collapsed="false">
      <c r="A13" s="8" t="s">
        <v>63</v>
      </c>
      <c r="B13" s="8" t="s">
        <v>132</v>
      </c>
      <c r="C13" s="8" t="s">
        <v>133</v>
      </c>
      <c r="D13" s="4" t="s">
        <v>130</v>
      </c>
      <c r="E13" s="39" t="n">
        <f aca="false">도비!G16</f>
        <v>1000000</v>
      </c>
      <c r="F13" s="8" t="s">
        <v>131</v>
      </c>
      <c r="G13" s="4"/>
    </row>
    <row r="14" customFormat="false" ht="26.85" hidden="false" customHeight="false" outlineLevel="0" collapsed="false">
      <c r="A14" s="8" t="s">
        <v>63</v>
      </c>
      <c r="B14" s="8" t="s">
        <v>134</v>
      </c>
      <c r="C14" s="8" t="s">
        <v>135</v>
      </c>
      <c r="D14" s="8" t="s">
        <v>136</v>
      </c>
      <c r="E14" s="39" t="n">
        <f aca="false">도비!G17</f>
        <v>1210000</v>
      </c>
      <c r="F14" s="10" t="s">
        <v>137</v>
      </c>
      <c r="G14" s="4"/>
    </row>
    <row r="15" customFormat="false" ht="15" hidden="false" customHeight="false" outlineLevel="0" collapsed="false">
      <c r="A15" s="8" t="s">
        <v>63</v>
      </c>
      <c r="B15" s="8" t="s">
        <v>138</v>
      </c>
      <c r="C15" s="8" t="s">
        <v>139</v>
      </c>
      <c r="D15" s="4" t="s">
        <v>140</v>
      </c>
      <c r="E15" s="39" t="n">
        <f aca="false">도비!G18</f>
        <v>500000</v>
      </c>
      <c r="F15" s="8" t="s">
        <v>119</v>
      </c>
      <c r="G15" s="8" t="s">
        <v>141</v>
      </c>
    </row>
    <row r="16" customFormat="false" ht="15" hidden="false" customHeight="false" outlineLevel="0" collapsed="false">
      <c r="A16" s="8" t="s">
        <v>63</v>
      </c>
      <c r="B16" s="8" t="s">
        <v>142</v>
      </c>
      <c r="C16" s="4" t="s">
        <v>143</v>
      </c>
      <c r="D16" s="4" t="s">
        <v>144</v>
      </c>
      <c r="E16" s="39" t="n">
        <f aca="false">도비!G19</f>
        <v>520000</v>
      </c>
      <c r="F16" s="10" t="s">
        <v>111</v>
      </c>
      <c r="G16" s="4"/>
    </row>
    <row r="17" customFormat="false" ht="15" hidden="false" customHeight="false" outlineLevel="0" collapsed="false">
      <c r="A17" s="8" t="s">
        <v>63</v>
      </c>
      <c r="B17" s="8" t="s">
        <v>145</v>
      </c>
      <c r="C17" s="4"/>
      <c r="D17" s="4" t="s">
        <v>130</v>
      </c>
      <c r="E17" s="39" t="n">
        <f aca="false">도비!G20</f>
        <v>380000</v>
      </c>
      <c r="F17" s="10" t="s">
        <v>111</v>
      </c>
      <c r="G17" s="4"/>
    </row>
    <row r="18" customFormat="false" ht="15" hidden="false" customHeight="false" outlineLevel="0" collapsed="false">
      <c r="A18" s="8" t="s">
        <v>63</v>
      </c>
      <c r="B18" s="8" t="s">
        <v>70</v>
      </c>
      <c r="C18" s="8" t="s">
        <v>146</v>
      </c>
      <c r="D18" s="4" t="s">
        <v>147</v>
      </c>
      <c r="E18" s="39" t="n">
        <f aca="false">도비!G21</f>
        <v>600000</v>
      </c>
      <c r="F18" s="8" t="s">
        <v>119</v>
      </c>
      <c r="G18" s="4"/>
    </row>
    <row r="19" customFormat="false" ht="26.85" hidden="false" customHeight="false" outlineLevel="0" collapsed="false">
      <c r="A19" s="19"/>
      <c r="B19" s="40" t="s">
        <v>148</v>
      </c>
      <c r="C19" s="19"/>
      <c r="D19" s="19"/>
      <c r="E19" s="41" t="n">
        <f aca="false">도비!$G$32-SUM(도비!$G$22:$G$24)</f>
        <v>4592000</v>
      </c>
      <c r="F19" s="42" t="s">
        <v>149</v>
      </c>
      <c r="G19" s="19"/>
    </row>
    <row r="20" customFormat="false" ht="15" hidden="false" customHeight="false" outlineLevel="0" collapsed="false">
      <c r="A20" s="19"/>
      <c r="B20" s="40" t="s">
        <v>150</v>
      </c>
      <c r="C20" s="19"/>
      <c r="D20" s="19"/>
      <c r="E20" s="41" t="n">
        <f aca="false">도비!$G$32</f>
        <v>24522000</v>
      </c>
      <c r="F20" s="42" t="s">
        <v>151</v>
      </c>
      <c r="G20" s="19"/>
    </row>
    <row r="22" customFormat="false" ht="26.85" hidden="false" customHeight="false" outlineLevel="0" collapsed="false">
      <c r="A22" s="8" t="s">
        <v>64</v>
      </c>
      <c r="B22" s="8" t="s">
        <v>152</v>
      </c>
      <c r="C22" s="4" t="s">
        <v>153</v>
      </c>
      <c r="D22" s="4" t="s">
        <v>154</v>
      </c>
      <c r="E22" s="39" t="n">
        <f aca="false">용접!G8</f>
        <v>4500000</v>
      </c>
      <c r="F22" s="8" t="s">
        <v>155</v>
      </c>
      <c r="G22" s="8" t="s">
        <v>156</v>
      </c>
    </row>
    <row r="23" customFormat="false" ht="26.85" hidden="false" customHeight="false" outlineLevel="0" collapsed="false">
      <c r="A23" s="8" t="s">
        <v>64</v>
      </c>
      <c r="B23" s="8" t="s">
        <v>157</v>
      </c>
      <c r="C23" s="8" t="s">
        <v>158</v>
      </c>
      <c r="D23" s="4" t="s">
        <v>159</v>
      </c>
      <c r="E23" s="39" t="n">
        <f aca="false">용접!G9</f>
        <v>2100000</v>
      </c>
      <c r="F23" s="8" t="s">
        <v>155</v>
      </c>
      <c r="G23" s="8" t="s">
        <v>160</v>
      </c>
    </row>
    <row r="24" customFormat="false" ht="15" hidden="false" customHeight="false" outlineLevel="0" collapsed="false">
      <c r="A24" s="8" t="s">
        <v>64</v>
      </c>
      <c r="B24" s="8" t="s">
        <v>161</v>
      </c>
      <c r="C24" s="8" t="s">
        <v>162</v>
      </c>
      <c r="D24" s="4" t="s">
        <v>163</v>
      </c>
      <c r="E24" s="39" t="n">
        <f aca="false">용접!G10</f>
        <v>1200000</v>
      </c>
      <c r="F24" s="8" t="s">
        <v>164</v>
      </c>
      <c r="G24" s="8" t="s">
        <v>112</v>
      </c>
    </row>
    <row r="25" customFormat="false" ht="15" hidden="false" customHeight="false" outlineLevel="0" collapsed="false">
      <c r="A25" s="8" t="s">
        <v>64</v>
      </c>
      <c r="B25" s="8" t="s">
        <v>165</v>
      </c>
      <c r="C25" s="8" t="s">
        <v>166</v>
      </c>
      <c r="D25" s="4" t="s">
        <v>167</v>
      </c>
      <c r="E25" s="39" t="n">
        <f aca="false">용접!G11</f>
        <v>800000</v>
      </c>
      <c r="F25" s="8" t="s">
        <v>164</v>
      </c>
      <c r="G25" s="8" t="s">
        <v>141</v>
      </c>
    </row>
    <row r="26" customFormat="false" ht="26.85" hidden="false" customHeight="false" outlineLevel="0" collapsed="false">
      <c r="A26" s="8" t="s">
        <v>64</v>
      </c>
      <c r="B26" s="8" t="s">
        <v>168</v>
      </c>
      <c r="C26" s="8" t="s">
        <v>169</v>
      </c>
      <c r="D26" s="4" t="s">
        <v>170</v>
      </c>
      <c r="E26" s="39" t="n">
        <f aca="false">용접!G12</f>
        <v>1250000</v>
      </c>
      <c r="F26" s="10" t="s">
        <v>171</v>
      </c>
      <c r="G26" s="8" t="s">
        <v>112</v>
      </c>
    </row>
    <row r="27" customFormat="false" ht="15" hidden="false" customHeight="false" outlineLevel="0" collapsed="false">
      <c r="A27" s="8" t="s">
        <v>64</v>
      </c>
      <c r="B27" s="4" t="s">
        <v>172</v>
      </c>
      <c r="C27" s="4" t="s">
        <v>173</v>
      </c>
      <c r="D27" s="4" t="s">
        <v>174</v>
      </c>
      <c r="E27" s="39" t="n">
        <f aca="false">용접!G13</f>
        <v>3600000</v>
      </c>
      <c r="F27" s="8" t="s">
        <v>119</v>
      </c>
      <c r="G27" s="4"/>
    </row>
    <row r="28" customFormat="false" ht="15" hidden="false" customHeight="false" outlineLevel="0" collapsed="false">
      <c r="A28" s="8" t="s">
        <v>64</v>
      </c>
      <c r="B28" s="8" t="s">
        <v>175</v>
      </c>
      <c r="C28" s="8" t="s">
        <v>176</v>
      </c>
      <c r="D28" s="4" t="s">
        <v>130</v>
      </c>
      <c r="E28" s="39" t="n">
        <f aca="false">용접!G14</f>
        <v>800000</v>
      </c>
      <c r="F28" s="10" t="s">
        <v>111</v>
      </c>
      <c r="G28" s="4"/>
    </row>
    <row r="29" customFormat="false" ht="26.85" hidden="false" customHeight="false" outlineLevel="0" collapsed="false">
      <c r="A29" s="8" t="s">
        <v>64</v>
      </c>
      <c r="B29" s="8" t="s">
        <v>177</v>
      </c>
      <c r="C29" s="4" t="s">
        <v>178</v>
      </c>
      <c r="D29" s="4" t="s">
        <v>179</v>
      </c>
      <c r="E29" s="39" t="n">
        <f aca="false">용접!G15</f>
        <v>3680000</v>
      </c>
      <c r="F29" s="10" t="s">
        <v>111</v>
      </c>
      <c r="G29" s="4"/>
    </row>
    <row r="30" customFormat="false" ht="15" hidden="false" customHeight="false" outlineLevel="0" collapsed="false">
      <c r="A30" s="8" t="s">
        <v>64</v>
      </c>
      <c r="B30" s="8" t="s">
        <v>180</v>
      </c>
      <c r="C30" s="4"/>
      <c r="D30" s="4" t="s">
        <v>181</v>
      </c>
      <c r="E30" s="39" t="n">
        <f aca="false">용접!G16</f>
        <v>1000000</v>
      </c>
      <c r="F30" s="8" t="s">
        <v>119</v>
      </c>
      <c r="G30" s="4"/>
    </row>
    <row r="31" customFormat="false" ht="15" hidden="false" customHeight="false" outlineLevel="0" collapsed="false">
      <c r="A31" s="8" t="s">
        <v>64</v>
      </c>
      <c r="B31" s="8" t="s">
        <v>182</v>
      </c>
      <c r="C31" s="8" t="s">
        <v>183</v>
      </c>
      <c r="D31" s="4" t="s">
        <v>184</v>
      </c>
      <c r="E31" s="39" t="n">
        <f aca="false">용접!G17</f>
        <v>2200000</v>
      </c>
      <c r="F31" s="8" t="s">
        <v>119</v>
      </c>
      <c r="G31" s="4"/>
    </row>
    <row r="32" customFormat="false" ht="15" hidden="false" customHeight="false" outlineLevel="0" collapsed="false">
      <c r="A32" s="8" t="s">
        <v>64</v>
      </c>
      <c r="B32" s="8" t="s">
        <v>70</v>
      </c>
      <c r="C32" s="8" t="s">
        <v>185</v>
      </c>
      <c r="D32" s="4" t="s">
        <v>186</v>
      </c>
      <c r="E32" s="39" t="n">
        <f aca="false">용접!G18</f>
        <v>1400000</v>
      </c>
      <c r="F32" s="8" t="s">
        <v>119</v>
      </c>
      <c r="G32" s="4"/>
    </row>
    <row r="33" customFormat="false" ht="26.85" hidden="false" customHeight="false" outlineLevel="0" collapsed="false">
      <c r="A33" s="19"/>
      <c r="B33" s="40" t="s">
        <v>148</v>
      </c>
      <c r="C33" s="19"/>
      <c r="D33" s="19"/>
      <c r="E33" s="41" t="n">
        <f aca="false">용접!$G$29-SUM(용접!$G$19:$G$21)</f>
        <v>5191000</v>
      </c>
      <c r="F33" s="42" t="s">
        <v>149</v>
      </c>
      <c r="G33" s="19"/>
    </row>
    <row r="34" customFormat="false" ht="15" hidden="false" customHeight="false" outlineLevel="0" collapsed="false">
      <c r="A34" s="19"/>
      <c r="B34" s="40" t="s">
        <v>150</v>
      </c>
      <c r="C34" s="19"/>
      <c r="D34" s="19"/>
      <c r="E34" s="41" t="n">
        <f aca="false">용접!$G$29</f>
        <v>27721000</v>
      </c>
      <c r="F34" s="42" t="s">
        <v>187</v>
      </c>
      <c r="G34" s="19"/>
    </row>
    <row r="36" customFormat="false" ht="26.85" hidden="false" customHeight="false" outlineLevel="0" collapsed="false">
      <c r="A36" s="8" t="s">
        <v>65</v>
      </c>
      <c r="B36" s="4" t="s">
        <v>188</v>
      </c>
      <c r="C36" s="4" t="s">
        <v>189</v>
      </c>
      <c r="D36" s="4" t="s">
        <v>190</v>
      </c>
      <c r="E36" s="39" t="n">
        <f aca="false">베이스!G8</f>
        <v>6993700</v>
      </c>
      <c r="F36" s="8" t="s">
        <v>191</v>
      </c>
      <c r="G36" s="4"/>
    </row>
    <row r="37" customFormat="false" ht="15" hidden="false" customHeight="false" outlineLevel="0" collapsed="false">
      <c r="A37" s="8" t="s">
        <v>65</v>
      </c>
      <c r="B37" s="4" t="s">
        <v>192</v>
      </c>
      <c r="C37" s="4"/>
      <c r="D37" s="4" t="s">
        <v>130</v>
      </c>
      <c r="E37" s="39" t="n">
        <f aca="false">베이스!G9</f>
        <v>160000</v>
      </c>
      <c r="F37" s="8" t="s">
        <v>193</v>
      </c>
      <c r="G37" s="4"/>
    </row>
    <row r="38" customFormat="false" ht="15" hidden="false" customHeight="false" outlineLevel="0" collapsed="false">
      <c r="A38" s="8" t="s">
        <v>65</v>
      </c>
      <c r="B38" s="8" t="s">
        <v>194</v>
      </c>
      <c r="C38" s="4"/>
      <c r="D38" s="4" t="s">
        <v>130</v>
      </c>
      <c r="E38" s="39" t="n">
        <f aca="false">베이스!G10</f>
        <v>160000</v>
      </c>
      <c r="F38" s="10" t="s">
        <v>111</v>
      </c>
      <c r="G38" s="4"/>
    </row>
    <row r="39" customFormat="false" ht="15" hidden="false" customHeight="false" outlineLevel="0" collapsed="false">
      <c r="A39" s="8" t="s">
        <v>65</v>
      </c>
      <c r="B39" s="8" t="s">
        <v>177</v>
      </c>
      <c r="C39" s="8" t="s">
        <v>195</v>
      </c>
      <c r="D39" s="4" t="s">
        <v>130</v>
      </c>
      <c r="E39" s="39" t="n">
        <f aca="false">베이스!G11</f>
        <v>1000000</v>
      </c>
      <c r="F39" s="10" t="s">
        <v>111</v>
      </c>
      <c r="G39" s="4"/>
    </row>
    <row r="40" customFormat="false" ht="15" hidden="false" customHeight="false" outlineLevel="0" collapsed="false">
      <c r="A40" s="8" t="s">
        <v>65</v>
      </c>
      <c r="B40" s="8" t="s">
        <v>196</v>
      </c>
      <c r="C40" s="8" t="s">
        <v>197</v>
      </c>
      <c r="D40" s="4" t="s">
        <v>130</v>
      </c>
      <c r="E40" s="39" t="n">
        <f aca="false">베이스!G12</f>
        <v>420000</v>
      </c>
      <c r="F40" s="10" t="s">
        <v>111</v>
      </c>
      <c r="G40" s="4"/>
    </row>
    <row r="41" customFormat="false" ht="26.85" hidden="false" customHeight="false" outlineLevel="0" collapsed="false">
      <c r="A41" s="8" t="s">
        <v>65</v>
      </c>
      <c r="B41" s="8" t="s">
        <v>198</v>
      </c>
      <c r="C41" s="8" t="s">
        <v>199</v>
      </c>
      <c r="D41" s="4" t="s">
        <v>159</v>
      </c>
      <c r="E41" s="39" t="n">
        <f aca="false">베이스!G13</f>
        <v>2100000</v>
      </c>
      <c r="F41" s="10" t="s">
        <v>200</v>
      </c>
      <c r="G41" s="8" t="s">
        <v>160</v>
      </c>
    </row>
    <row r="42" customFormat="false" ht="26.85" hidden="false" customHeight="false" outlineLevel="0" collapsed="false">
      <c r="A42" s="8" t="s">
        <v>65</v>
      </c>
      <c r="B42" s="8" t="s">
        <v>152</v>
      </c>
      <c r="C42" s="8" t="s">
        <v>201</v>
      </c>
      <c r="D42" s="4" t="s">
        <v>202</v>
      </c>
      <c r="E42" s="39" t="n">
        <f aca="false">베이스!G14</f>
        <v>1500000</v>
      </c>
      <c r="F42" s="10" t="s">
        <v>200</v>
      </c>
      <c r="G42" s="8" t="s">
        <v>156</v>
      </c>
    </row>
    <row r="43" customFormat="false" ht="15" hidden="false" customHeight="false" outlineLevel="0" collapsed="false">
      <c r="A43" s="8" t="s">
        <v>65</v>
      </c>
      <c r="B43" s="8" t="s">
        <v>165</v>
      </c>
      <c r="C43" s="8" t="s">
        <v>203</v>
      </c>
      <c r="D43" s="4" t="s">
        <v>204</v>
      </c>
      <c r="E43" s="39" t="n">
        <f aca="false">베이스!G15</f>
        <v>600000</v>
      </c>
      <c r="F43" s="10" t="s">
        <v>200</v>
      </c>
      <c r="G43" s="8" t="s">
        <v>141</v>
      </c>
    </row>
    <row r="44" customFormat="false" ht="26.85" hidden="false" customHeight="false" outlineLevel="0" collapsed="false">
      <c r="A44" s="8" t="s">
        <v>65</v>
      </c>
      <c r="B44" s="8" t="s">
        <v>168</v>
      </c>
      <c r="C44" s="8" t="s">
        <v>205</v>
      </c>
      <c r="D44" s="4" t="s">
        <v>206</v>
      </c>
      <c r="E44" s="39" t="n">
        <f aca="false">베이스!G16</f>
        <v>750000</v>
      </c>
      <c r="F44" s="10" t="s">
        <v>171</v>
      </c>
      <c r="G44" s="8" t="s">
        <v>112</v>
      </c>
    </row>
    <row r="45" customFormat="false" ht="15" hidden="false" customHeight="false" outlineLevel="0" collapsed="false">
      <c r="A45" s="8" t="s">
        <v>65</v>
      </c>
      <c r="B45" s="8" t="s">
        <v>207</v>
      </c>
      <c r="C45" s="8" t="s">
        <v>208</v>
      </c>
      <c r="D45" s="4" t="s">
        <v>209</v>
      </c>
      <c r="E45" s="39" t="n">
        <f aca="false">베이스!G17</f>
        <v>600000</v>
      </c>
      <c r="F45" s="8" t="s">
        <v>119</v>
      </c>
      <c r="G45" s="4"/>
    </row>
    <row r="46" customFormat="false" ht="15" hidden="false" customHeight="false" outlineLevel="0" collapsed="false">
      <c r="A46" s="8" t="s">
        <v>65</v>
      </c>
      <c r="B46" s="8" t="s">
        <v>207</v>
      </c>
      <c r="C46" s="8" t="s">
        <v>210</v>
      </c>
      <c r="D46" s="4" t="s">
        <v>211</v>
      </c>
      <c r="E46" s="39" t="n">
        <f aca="false">베이스!G18</f>
        <v>300000</v>
      </c>
      <c r="F46" s="8" t="s">
        <v>212</v>
      </c>
      <c r="G46" s="4"/>
    </row>
    <row r="47" customFormat="false" ht="15" hidden="false" customHeight="false" outlineLevel="0" collapsed="false">
      <c r="A47" s="8" t="s">
        <v>65</v>
      </c>
      <c r="B47" s="4" t="s">
        <v>172</v>
      </c>
      <c r="C47" s="4" t="s">
        <v>173</v>
      </c>
      <c r="D47" s="4" t="s">
        <v>213</v>
      </c>
      <c r="E47" s="39" t="n">
        <f aca="false">베이스!G19</f>
        <v>1200000</v>
      </c>
      <c r="F47" s="8" t="s">
        <v>212</v>
      </c>
      <c r="G47" s="4"/>
    </row>
    <row r="48" customFormat="false" ht="15" hidden="false" customHeight="false" outlineLevel="0" collapsed="false">
      <c r="A48" s="8" t="s">
        <v>65</v>
      </c>
      <c r="B48" s="8" t="s">
        <v>70</v>
      </c>
      <c r="C48" s="8" t="s">
        <v>185</v>
      </c>
      <c r="D48" s="4" t="s">
        <v>214</v>
      </c>
      <c r="E48" s="39" t="n">
        <f aca="false">베이스!G20</f>
        <v>750000</v>
      </c>
      <c r="F48" s="8" t="s">
        <v>119</v>
      </c>
      <c r="G48" s="4"/>
    </row>
    <row r="49" customFormat="false" ht="26.85" hidden="false" customHeight="false" outlineLevel="0" collapsed="false">
      <c r="A49" s="19"/>
      <c r="B49" s="40" t="s">
        <v>148</v>
      </c>
      <c r="C49" s="19"/>
      <c r="D49" s="19"/>
      <c r="E49" s="41" t="n">
        <f aca="false">베이스!$G$31-SUM(베이스!$G$21:$G$23)</f>
        <v>2915300</v>
      </c>
      <c r="F49" s="42" t="s">
        <v>149</v>
      </c>
      <c r="G49" s="19"/>
    </row>
    <row r="50" customFormat="false" ht="15" hidden="false" customHeight="false" outlineLevel="0" collapsed="false">
      <c r="A50" s="19"/>
      <c r="B50" s="40" t="s">
        <v>150</v>
      </c>
      <c r="C50" s="19"/>
      <c r="D50" s="19"/>
      <c r="E50" s="41" t="n">
        <f aca="false">베이스!$G$31</f>
        <v>19449000</v>
      </c>
      <c r="F50" s="42" t="s">
        <v>215</v>
      </c>
      <c r="G50" s="19"/>
    </row>
    <row r="52" customFormat="false" ht="26.85" hidden="false" customHeight="false" outlineLevel="0" collapsed="false">
      <c r="A52" s="4" t="s">
        <v>216</v>
      </c>
      <c r="B52" s="8" t="s">
        <v>103</v>
      </c>
      <c r="C52" s="8" t="s">
        <v>217</v>
      </c>
      <c r="D52" s="4" t="s">
        <v>218</v>
      </c>
      <c r="E52" s="39" t="n">
        <f aca="false">B_도비!G8</f>
        <v>6300000</v>
      </c>
      <c r="F52" s="8" t="s">
        <v>219</v>
      </c>
      <c r="G52" s="8" t="s">
        <v>107</v>
      </c>
    </row>
    <row r="53" customFormat="false" ht="15" hidden="false" customHeight="false" outlineLevel="0" collapsed="false">
      <c r="A53" s="4" t="s">
        <v>216</v>
      </c>
      <c r="B53" s="8" t="s">
        <v>108</v>
      </c>
      <c r="C53" s="8" t="s">
        <v>109</v>
      </c>
      <c r="D53" s="4" t="s">
        <v>220</v>
      </c>
      <c r="E53" s="39" t="n">
        <f aca="false">B_도비!G9</f>
        <v>1040000</v>
      </c>
      <c r="F53" s="10" t="s">
        <v>111</v>
      </c>
      <c r="G53" s="8" t="s">
        <v>112</v>
      </c>
    </row>
    <row r="54" customFormat="false" ht="26.1" hidden="false" customHeight="false" outlineLevel="0" collapsed="false">
      <c r="A54" s="4" t="s">
        <v>216</v>
      </c>
      <c r="B54" s="8" t="s">
        <v>113</v>
      </c>
      <c r="C54" s="8" t="s">
        <v>221</v>
      </c>
      <c r="D54" s="4" t="s">
        <v>115</v>
      </c>
      <c r="E54" s="39" t="n">
        <f aca="false">B_도비!G10</f>
        <v>960000</v>
      </c>
      <c r="F54" s="10" t="s">
        <v>111</v>
      </c>
      <c r="G54" s="4"/>
    </row>
    <row r="55" customFormat="false" ht="15" hidden="false" customHeight="false" outlineLevel="0" collapsed="false">
      <c r="A55" s="4" t="s">
        <v>216</v>
      </c>
      <c r="B55" s="8" t="s">
        <v>116</v>
      </c>
      <c r="C55" s="4" t="s">
        <v>222</v>
      </c>
      <c r="D55" s="4" t="s">
        <v>118</v>
      </c>
      <c r="E55" s="39" t="n">
        <f aca="false">B_도비!G11</f>
        <v>2400000</v>
      </c>
      <c r="F55" s="8" t="s">
        <v>119</v>
      </c>
      <c r="G55" s="4"/>
    </row>
    <row r="56" customFormat="false" ht="15" hidden="false" customHeight="false" outlineLevel="0" collapsed="false">
      <c r="A56" s="4" t="s">
        <v>216</v>
      </c>
      <c r="B56" s="8" t="s">
        <v>116</v>
      </c>
      <c r="C56" s="4" t="s">
        <v>223</v>
      </c>
      <c r="D56" s="4" t="s">
        <v>121</v>
      </c>
      <c r="E56" s="39" t="n">
        <f aca="false">B_도비!G12</f>
        <v>1700000</v>
      </c>
      <c r="F56" s="8" t="s">
        <v>119</v>
      </c>
      <c r="G56" s="4"/>
    </row>
    <row r="57" customFormat="false" ht="15" hidden="false" customHeight="false" outlineLevel="0" collapsed="false">
      <c r="A57" s="4" t="s">
        <v>216</v>
      </c>
      <c r="B57" s="8" t="s">
        <v>116</v>
      </c>
      <c r="C57" s="4" t="s">
        <v>224</v>
      </c>
      <c r="D57" s="4" t="s">
        <v>225</v>
      </c>
      <c r="E57" s="39" t="n">
        <f aca="false">B_도비!G13</f>
        <v>3500000</v>
      </c>
      <c r="F57" s="8" t="s">
        <v>226</v>
      </c>
      <c r="G57" s="4"/>
    </row>
    <row r="58" customFormat="false" ht="26.85" hidden="false" customHeight="false" outlineLevel="0" collapsed="false">
      <c r="A58" s="4" t="s">
        <v>216</v>
      </c>
      <c r="B58" s="4" t="s">
        <v>227</v>
      </c>
      <c r="C58" s="8" t="s">
        <v>228</v>
      </c>
      <c r="D58" s="4" t="s">
        <v>130</v>
      </c>
      <c r="E58" s="39" t="n">
        <f aca="false">B_도비!G14</f>
        <v>1200000</v>
      </c>
      <c r="F58" s="10" t="s">
        <v>111</v>
      </c>
      <c r="G58" s="4"/>
    </row>
    <row r="59" customFormat="false" ht="15" hidden="false" customHeight="false" outlineLevel="0" collapsed="false">
      <c r="A59" s="4" t="s">
        <v>216</v>
      </c>
      <c r="B59" s="8" t="s">
        <v>229</v>
      </c>
      <c r="C59" s="4" t="s">
        <v>230</v>
      </c>
      <c r="D59" s="4" t="s">
        <v>130</v>
      </c>
      <c r="E59" s="39" t="n">
        <f aca="false">B_도비!G15</f>
        <v>800000</v>
      </c>
      <c r="F59" s="10" t="s">
        <v>111</v>
      </c>
      <c r="G59" s="4"/>
    </row>
    <row r="60" customFormat="false" ht="15" hidden="false" customHeight="false" outlineLevel="0" collapsed="false">
      <c r="A60" s="4" t="s">
        <v>216</v>
      </c>
      <c r="B60" s="8" t="s">
        <v>122</v>
      </c>
      <c r="C60" s="4" t="s">
        <v>123</v>
      </c>
      <c r="D60" s="4" t="s">
        <v>231</v>
      </c>
      <c r="E60" s="39" t="n">
        <f aca="false">B_도비!G16</f>
        <v>1280000</v>
      </c>
      <c r="F60" s="10" t="s">
        <v>111</v>
      </c>
      <c r="G60" s="4"/>
    </row>
    <row r="61" customFormat="false" ht="15" hidden="false" customHeight="false" outlineLevel="0" collapsed="false">
      <c r="A61" s="4" t="s">
        <v>216</v>
      </c>
      <c r="B61" s="8" t="s">
        <v>128</v>
      </c>
      <c r="C61" s="8" t="s">
        <v>129</v>
      </c>
      <c r="D61" s="4" t="s">
        <v>130</v>
      </c>
      <c r="E61" s="39" t="n">
        <f aca="false">B_도비!G17</f>
        <v>3000000</v>
      </c>
      <c r="F61" s="8" t="s">
        <v>131</v>
      </c>
      <c r="G61" s="4"/>
    </row>
    <row r="62" customFormat="false" ht="26.85" hidden="false" customHeight="false" outlineLevel="0" collapsed="false">
      <c r="A62" s="4" t="s">
        <v>216</v>
      </c>
      <c r="B62" s="8" t="s">
        <v>232</v>
      </c>
      <c r="C62" s="8" t="s">
        <v>233</v>
      </c>
      <c r="D62" s="4" t="s">
        <v>130</v>
      </c>
      <c r="E62" s="39" t="n">
        <f aca="false">B_도비!G18</f>
        <v>900000</v>
      </c>
      <c r="F62" s="10" t="s">
        <v>111</v>
      </c>
      <c r="G62" s="4"/>
    </row>
    <row r="63" customFormat="false" ht="15" hidden="false" customHeight="false" outlineLevel="0" collapsed="false">
      <c r="A63" s="4" t="s">
        <v>216</v>
      </c>
      <c r="B63" s="8" t="s">
        <v>132</v>
      </c>
      <c r="C63" s="8" t="s">
        <v>234</v>
      </c>
      <c r="D63" s="4" t="s">
        <v>130</v>
      </c>
      <c r="E63" s="39" t="n">
        <f aca="false">B_도비!G19</f>
        <v>1000000</v>
      </c>
      <c r="F63" s="8" t="s">
        <v>131</v>
      </c>
      <c r="G63" s="4"/>
    </row>
    <row r="64" customFormat="false" ht="26.85" hidden="false" customHeight="false" outlineLevel="0" collapsed="false">
      <c r="A64" s="4" t="s">
        <v>216</v>
      </c>
      <c r="B64" s="8" t="s">
        <v>134</v>
      </c>
      <c r="C64" s="8" t="s">
        <v>135</v>
      </c>
      <c r="D64" s="4" t="s">
        <v>235</v>
      </c>
      <c r="E64" s="39" t="n">
        <f aca="false">B_도비!G20</f>
        <v>1210000</v>
      </c>
      <c r="F64" s="10" t="s">
        <v>137</v>
      </c>
      <c r="G64" s="4"/>
    </row>
    <row r="65" customFormat="false" ht="15" hidden="false" customHeight="false" outlineLevel="0" collapsed="false">
      <c r="A65" s="4" t="s">
        <v>216</v>
      </c>
      <c r="B65" s="8" t="s">
        <v>138</v>
      </c>
      <c r="C65" s="8" t="s">
        <v>139</v>
      </c>
      <c r="D65" s="4" t="s">
        <v>140</v>
      </c>
      <c r="E65" s="39" t="n">
        <f aca="false">B_도비!G21</f>
        <v>500000</v>
      </c>
      <c r="F65" s="8" t="s">
        <v>119</v>
      </c>
      <c r="G65" s="8" t="s">
        <v>141</v>
      </c>
    </row>
    <row r="66" customFormat="false" ht="15" hidden="false" customHeight="false" outlineLevel="0" collapsed="false">
      <c r="A66" s="4" t="s">
        <v>216</v>
      </c>
      <c r="B66" s="8" t="s">
        <v>142</v>
      </c>
      <c r="C66" s="4" t="s">
        <v>143</v>
      </c>
      <c r="D66" s="4" t="s">
        <v>144</v>
      </c>
      <c r="E66" s="39" t="n">
        <f aca="false">B_도비!G22</f>
        <v>520000</v>
      </c>
      <c r="F66" s="10" t="s">
        <v>111</v>
      </c>
      <c r="G66" s="4"/>
    </row>
    <row r="67" customFormat="false" ht="15" hidden="false" customHeight="false" outlineLevel="0" collapsed="false">
      <c r="A67" s="4" t="s">
        <v>216</v>
      </c>
      <c r="B67" s="8" t="s">
        <v>145</v>
      </c>
      <c r="C67" s="4"/>
      <c r="D67" s="4" t="s">
        <v>130</v>
      </c>
      <c r="E67" s="39" t="n">
        <f aca="false">B_도비!G23</f>
        <v>380000</v>
      </c>
      <c r="F67" s="10" t="s">
        <v>111</v>
      </c>
      <c r="G67" s="4"/>
    </row>
    <row r="68" customFormat="false" ht="15" hidden="false" customHeight="false" outlineLevel="0" collapsed="false">
      <c r="A68" s="4" t="s">
        <v>216</v>
      </c>
      <c r="B68" s="8" t="s">
        <v>70</v>
      </c>
      <c r="C68" s="8" t="s">
        <v>146</v>
      </c>
      <c r="D68" s="4" t="s">
        <v>147</v>
      </c>
      <c r="E68" s="39" t="n">
        <f aca="false">B_도비!G24</f>
        <v>600000</v>
      </c>
      <c r="F68" s="8" t="s">
        <v>119</v>
      </c>
      <c r="G68" s="4"/>
    </row>
    <row r="69" customFormat="false" ht="26.85" hidden="false" customHeight="false" outlineLevel="0" collapsed="false">
      <c r="A69" s="19"/>
      <c r="B69" s="40" t="s">
        <v>148</v>
      </c>
      <c r="C69" s="19"/>
      <c r="D69" s="19"/>
      <c r="E69" s="41" t="n">
        <f aca="false">B_도비!$G$35-SUM(B_도비!$G$25:B25)</f>
        <v>31247000</v>
      </c>
      <c r="F69" s="42" t="s">
        <v>149</v>
      </c>
      <c r="G69" s="19"/>
    </row>
    <row r="70" customFormat="false" ht="15" hidden="false" customHeight="false" outlineLevel="0" collapsed="false">
      <c r="A70" s="19"/>
      <c r="B70" s="40" t="s">
        <v>150</v>
      </c>
      <c r="C70" s="19"/>
      <c r="D70" s="19"/>
      <c r="E70" s="41" t="n">
        <f aca="false">B_도비!$G$35</f>
        <v>33527000</v>
      </c>
      <c r="F70" s="19" t="s">
        <v>236</v>
      </c>
      <c r="G70" s="19"/>
    </row>
    <row r="72" customFormat="false" ht="26.85" hidden="false" customHeight="false" outlineLevel="0" collapsed="false">
      <c r="A72" s="4" t="s">
        <v>237</v>
      </c>
      <c r="B72" s="8" t="s">
        <v>152</v>
      </c>
      <c r="C72" s="4" t="s">
        <v>153</v>
      </c>
      <c r="D72" s="4" t="s">
        <v>154</v>
      </c>
      <c r="E72" s="39" t="n">
        <f aca="false">B_용접!G8</f>
        <v>4500000</v>
      </c>
      <c r="F72" s="8" t="s">
        <v>155</v>
      </c>
      <c r="G72" s="8" t="s">
        <v>156</v>
      </c>
    </row>
    <row r="73" customFormat="false" ht="26.85" hidden="false" customHeight="false" outlineLevel="0" collapsed="false">
      <c r="A73" s="4" t="s">
        <v>237</v>
      </c>
      <c r="B73" s="8" t="s">
        <v>157</v>
      </c>
      <c r="C73" s="8" t="s">
        <v>158</v>
      </c>
      <c r="D73" s="4" t="s">
        <v>159</v>
      </c>
      <c r="E73" s="39" t="n">
        <f aca="false">B_용접!G9</f>
        <v>2100000</v>
      </c>
      <c r="F73" s="8" t="s">
        <v>155</v>
      </c>
      <c r="G73" s="8" t="s">
        <v>160</v>
      </c>
    </row>
    <row r="74" customFormat="false" ht="15" hidden="false" customHeight="false" outlineLevel="0" collapsed="false">
      <c r="A74" s="4" t="s">
        <v>237</v>
      </c>
      <c r="B74" s="8" t="s">
        <v>161</v>
      </c>
      <c r="C74" s="8" t="s">
        <v>162</v>
      </c>
      <c r="D74" s="4" t="s">
        <v>163</v>
      </c>
      <c r="E74" s="39" t="n">
        <f aca="false">B_용접!G10</f>
        <v>1200000</v>
      </c>
      <c r="F74" s="8" t="s">
        <v>164</v>
      </c>
      <c r="G74" s="8" t="s">
        <v>112</v>
      </c>
    </row>
    <row r="75" customFormat="false" ht="15" hidden="false" customHeight="false" outlineLevel="0" collapsed="false">
      <c r="A75" s="4" t="s">
        <v>237</v>
      </c>
      <c r="B75" s="8" t="s">
        <v>165</v>
      </c>
      <c r="C75" s="8" t="s">
        <v>166</v>
      </c>
      <c r="D75" s="4" t="s">
        <v>167</v>
      </c>
      <c r="E75" s="39" t="n">
        <f aca="false">B_용접!G11</f>
        <v>800000</v>
      </c>
      <c r="F75" s="8" t="s">
        <v>164</v>
      </c>
      <c r="G75" s="8" t="s">
        <v>141</v>
      </c>
    </row>
    <row r="76" customFormat="false" ht="26.85" hidden="false" customHeight="false" outlineLevel="0" collapsed="false">
      <c r="A76" s="4" t="s">
        <v>237</v>
      </c>
      <c r="B76" s="8" t="s">
        <v>168</v>
      </c>
      <c r="C76" s="8" t="s">
        <v>169</v>
      </c>
      <c r="D76" s="4" t="s">
        <v>170</v>
      </c>
      <c r="E76" s="39" t="n">
        <f aca="false">B_용접!G12</f>
        <v>1250000</v>
      </c>
      <c r="F76" s="10" t="s">
        <v>171</v>
      </c>
      <c r="G76" s="8" t="s">
        <v>112</v>
      </c>
    </row>
    <row r="77" customFormat="false" ht="15" hidden="false" customHeight="false" outlineLevel="0" collapsed="false">
      <c r="A77" s="4" t="s">
        <v>237</v>
      </c>
      <c r="B77" s="4" t="s">
        <v>172</v>
      </c>
      <c r="C77" s="4" t="s">
        <v>173</v>
      </c>
      <c r="D77" s="4" t="s">
        <v>174</v>
      </c>
      <c r="E77" s="39" t="n">
        <f aca="false">B_용접!G13</f>
        <v>3600000</v>
      </c>
      <c r="F77" s="8" t="s">
        <v>119</v>
      </c>
      <c r="G77" s="4"/>
    </row>
    <row r="78" customFormat="false" ht="15" hidden="false" customHeight="false" outlineLevel="0" collapsed="false">
      <c r="A78" s="4" t="s">
        <v>237</v>
      </c>
      <c r="B78" s="8" t="s">
        <v>175</v>
      </c>
      <c r="C78" s="8" t="s">
        <v>176</v>
      </c>
      <c r="D78" s="4" t="s">
        <v>130</v>
      </c>
      <c r="E78" s="39" t="n">
        <f aca="false">B_용접!G14</f>
        <v>800000</v>
      </c>
      <c r="F78" s="10" t="s">
        <v>111</v>
      </c>
      <c r="G78" s="4"/>
    </row>
    <row r="79" customFormat="false" ht="26.85" hidden="false" customHeight="false" outlineLevel="0" collapsed="false">
      <c r="A79" s="4" t="s">
        <v>237</v>
      </c>
      <c r="B79" s="8" t="s">
        <v>177</v>
      </c>
      <c r="C79" s="4" t="s">
        <v>178</v>
      </c>
      <c r="D79" s="4" t="s">
        <v>179</v>
      </c>
      <c r="E79" s="39" t="n">
        <f aca="false">B_용접!G15</f>
        <v>3680000</v>
      </c>
      <c r="F79" s="10" t="s">
        <v>111</v>
      </c>
      <c r="G79" s="4"/>
    </row>
    <row r="80" customFormat="false" ht="15" hidden="false" customHeight="false" outlineLevel="0" collapsed="false">
      <c r="A80" s="4" t="s">
        <v>237</v>
      </c>
      <c r="B80" s="8" t="s">
        <v>180</v>
      </c>
      <c r="C80" s="4"/>
      <c r="D80" s="4" t="s">
        <v>181</v>
      </c>
      <c r="E80" s="39" t="n">
        <f aca="false">B_용접!G16</f>
        <v>1000000</v>
      </c>
      <c r="F80" s="8" t="s">
        <v>119</v>
      </c>
      <c r="G80" s="4"/>
    </row>
    <row r="81" customFormat="false" ht="15" hidden="false" customHeight="false" outlineLevel="0" collapsed="false">
      <c r="A81" s="4" t="s">
        <v>237</v>
      </c>
      <c r="B81" s="8" t="s">
        <v>182</v>
      </c>
      <c r="C81" s="8" t="s">
        <v>183</v>
      </c>
      <c r="D81" s="4" t="s">
        <v>184</v>
      </c>
      <c r="E81" s="39" t="n">
        <f aca="false">B_용접!G17</f>
        <v>2200000</v>
      </c>
      <c r="F81" s="8" t="s">
        <v>119</v>
      </c>
      <c r="G81" s="4"/>
    </row>
    <row r="82" customFormat="false" ht="15" hidden="false" customHeight="false" outlineLevel="0" collapsed="false">
      <c r="A82" s="4" t="s">
        <v>237</v>
      </c>
      <c r="B82" s="8" t="s">
        <v>70</v>
      </c>
      <c r="C82" s="8" t="s">
        <v>185</v>
      </c>
      <c r="D82" s="4" t="s">
        <v>186</v>
      </c>
      <c r="E82" s="39" t="n">
        <f aca="false">B_용접!G18</f>
        <v>1400000</v>
      </c>
      <c r="F82" s="8" t="s">
        <v>119</v>
      </c>
      <c r="G82" s="4"/>
    </row>
    <row r="83" customFormat="false" ht="26.85" hidden="false" customHeight="false" outlineLevel="0" collapsed="false">
      <c r="A83" s="19"/>
      <c r="B83" s="40" t="s">
        <v>148</v>
      </c>
      <c r="C83" s="19"/>
      <c r="D83" s="19"/>
      <c r="E83" s="41" t="n">
        <f aca="false">B_용접!$G$29-SUM(B_용접!$G$19:B19)</f>
        <v>24041000</v>
      </c>
      <c r="F83" s="42" t="s">
        <v>149</v>
      </c>
      <c r="G83" s="19"/>
    </row>
    <row r="84" customFormat="false" ht="15" hidden="false" customHeight="false" outlineLevel="0" collapsed="false">
      <c r="A84" s="19"/>
      <c r="B84" s="40" t="s">
        <v>150</v>
      </c>
      <c r="C84" s="19"/>
      <c r="D84" s="19"/>
      <c r="E84" s="41" t="n">
        <f aca="false">B_용접!$G$29</f>
        <v>27721000</v>
      </c>
      <c r="F84" s="19" t="s">
        <v>236</v>
      </c>
      <c r="G84" s="19"/>
    </row>
    <row r="86" customFormat="false" ht="26.85" hidden="false" customHeight="false" outlineLevel="0" collapsed="false">
      <c r="A86" s="4" t="s">
        <v>238</v>
      </c>
      <c r="B86" s="8" t="s">
        <v>239</v>
      </c>
      <c r="C86" s="4" t="s">
        <v>240</v>
      </c>
      <c r="D86" s="8" t="s">
        <v>241</v>
      </c>
      <c r="E86" s="39" t="n">
        <f aca="false">B_조방!G8</f>
        <v>0</v>
      </c>
      <c r="F86" s="8" t="s">
        <v>119</v>
      </c>
      <c r="G86" s="4"/>
    </row>
    <row r="87" customFormat="false" ht="15" hidden="false" customHeight="false" outlineLevel="0" collapsed="false">
      <c r="A87" s="4" t="s">
        <v>238</v>
      </c>
      <c r="B87" s="8" t="s">
        <v>177</v>
      </c>
      <c r="C87" s="8" t="s">
        <v>195</v>
      </c>
      <c r="D87" s="4" t="s">
        <v>130</v>
      </c>
      <c r="E87" s="39" t="n">
        <f aca="false">B_조방!G9</f>
        <v>420000</v>
      </c>
      <c r="F87" s="10" t="s">
        <v>111</v>
      </c>
      <c r="G87" s="4"/>
    </row>
    <row r="88" customFormat="false" ht="15" hidden="false" customHeight="false" outlineLevel="0" collapsed="false">
      <c r="A88" s="4" t="s">
        <v>238</v>
      </c>
      <c r="B88" s="8" t="s">
        <v>242</v>
      </c>
      <c r="C88" s="8" t="s">
        <v>243</v>
      </c>
      <c r="D88" s="4" t="s">
        <v>130</v>
      </c>
      <c r="E88" s="39" t="n">
        <f aca="false">B_조방!G10</f>
        <v>380000</v>
      </c>
      <c r="F88" s="10" t="s">
        <v>111</v>
      </c>
      <c r="G88" s="4"/>
    </row>
    <row r="89" customFormat="false" ht="26.85" hidden="false" customHeight="false" outlineLevel="0" collapsed="false">
      <c r="A89" s="4" t="s">
        <v>238</v>
      </c>
      <c r="B89" s="8" t="s">
        <v>198</v>
      </c>
      <c r="C89" s="8" t="s">
        <v>244</v>
      </c>
      <c r="D89" s="4" t="s">
        <v>245</v>
      </c>
      <c r="E89" s="39" t="n">
        <f aca="false">B_조방!G11</f>
        <v>700000</v>
      </c>
      <c r="F89" s="10" t="s">
        <v>111</v>
      </c>
      <c r="G89" s="8" t="s">
        <v>160</v>
      </c>
    </row>
    <row r="90" customFormat="false" ht="26.85" hidden="false" customHeight="false" outlineLevel="0" collapsed="false">
      <c r="A90" s="4" t="s">
        <v>238</v>
      </c>
      <c r="B90" s="8" t="s">
        <v>152</v>
      </c>
      <c r="C90" s="8" t="s">
        <v>246</v>
      </c>
      <c r="D90" s="4" t="s">
        <v>247</v>
      </c>
      <c r="E90" s="39" t="n">
        <f aca="false">B_조방!G12</f>
        <v>1000000</v>
      </c>
      <c r="F90" s="10" t="s">
        <v>111</v>
      </c>
      <c r="G90" s="8" t="s">
        <v>156</v>
      </c>
    </row>
    <row r="91" customFormat="false" ht="15" hidden="false" customHeight="false" outlineLevel="0" collapsed="false">
      <c r="A91" s="4" t="s">
        <v>238</v>
      </c>
      <c r="B91" s="8" t="s">
        <v>165</v>
      </c>
      <c r="C91" s="8" t="s">
        <v>248</v>
      </c>
      <c r="D91" s="4" t="s">
        <v>249</v>
      </c>
      <c r="E91" s="39" t="n">
        <f aca="false">B_조방!G13</f>
        <v>400000</v>
      </c>
      <c r="F91" s="10" t="s">
        <v>111</v>
      </c>
      <c r="G91" s="8" t="s">
        <v>141</v>
      </c>
    </row>
    <row r="92" customFormat="false" ht="15" hidden="false" customHeight="false" outlineLevel="0" collapsed="false">
      <c r="A92" s="4" t="s">
        <v>238</v>
      </c>
      <c r="B92" s="8" t="s">
        <v>168</v>
      </c>
      <c r="C92" s="8" t="s">
        <v>250</v>
      </c>
      <c r="D92" s="4" t="s">
        <v>251</v>
      </c>
      <c r="E92" s="39" t="n">
        <f aca="false">B_조방!G14</f>
        <v>250000</v>
      </c>
      <c r="F92" s="10" t="s">
        <v>111</v>
      </c>
      <c r="G92" s="8" t="s">
        <v>112</v>
      </c>
    </row>
    <row r="93" customFormat="false" ht="26.85" hidden="false" customHeight="false" outlineLevel="0" collapsed="false">
      <c r="A93" s="4" t="s">
        <v>238</v>
      </c>
      <c r="B93" s="8" t="s">
        <v>198</v>
      </c>
      <c r="C93" s="8" t="s">
        <v>252</v>
      </c>
      <c r="D93" s="4" t="s">
        <v>253</v>
      </c>
      <c r="E93" s="39" t="n">
        <f aca="false">B_조방!G15</f>
        <v>1400000</v>
      </c>
      <c r="F93" s="10" t="s">
        <v>254</v>
      </c>
      <c r="G93" s="8" t="s">
        <v>160</v>
      </c>
    </row>
    <row r="94" customFormat="false" ht="15" hidden="false" customHeight="false" outlineLevel="0" collapsed="false">
      <c r="A94" s="4" t="s">
        <v>238</v>
      </c>
      <c r="B94" s="8" t="s">
        <v>70</v>
      </c>
      <c r="C94" s="8" t="s">
        <v>185</v>
      </c>
      <c r="D94" s="4" t="s">
        <v>255</v>
      </c>
      <c r="E94" s="39" t="n">
        <f aca="false">B_조방!G16</f>
        <v>550000</v>
      </c>
      <c r="F94" s="8" t="s">
        <v>119</v>
      </c>
      <c r="G94" s="4"/>
    </row>
    <row r="95" customFormat="false" ht="26.85" hidden="false" customHeight="false" outlineLevel="0" collapsed="false">
      <c r="A95" s="19"/>
      <c r="B95" s="40" t="s">
        <v>148</v>
      </c>
      <c r="C95" s="19"/>
      <c r="D95" s="19"/>
      <c r="E95" s="41" t="n">
        <f aca="false">B_조방!$G$27-SUM(B_조방!$G$17:B17)</f>
        <v>5622000</v>
      </c>
      <c r="F95" s="42" t="s">
        <v>149</v>
      </c>
      <c r="G95" s="19"/>
    </row>
    <row r="96" customFormat="false" ht="15" hidden="false" customHeight="false" outlineLevel="0" collapsed="false">
      <c r="A96" s="19"/>
      <c r="B96" s="40" t="s">
        <v>150</v>
      </c>
      <c r="C96" s="19"/>
      <c r="D96" s="19"/>
      <c r="E96" s="41" t="n">
        <f aca="false">B_조방!$G$27</f>
        <v>6422000</v>
      </c>
      <c r="F96" s="19" t="s">
        <v>236</v>
      </c>
      <c r="G96" s="19"/>
    </row>
    <row r="98" customFormat="false" ht="15" hidden="false" customHeight="false" outlineLevel="0" collapsed="false">
      <c r="A98" s="38" t="s">
        <v>256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259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104</v>
      </c>
      <c r="D8" s="16" t="s">
        <v>263</v>
      </c>
      <c r="E8" s="44" t="n">
        <v>15</v>
      </c>
      <c r="F8" s="44" t="n">
        <v>300000</v>
      </c>
      <c r="G8" s="32" t="n">
        <f aca="false">E8*F8</f>
        <v>4500000</v>
      </c>
      <c r="H8" s="8" t="s">
        <v>264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263</v>
      </c>
      <c r="E9" s="44" t="n">
        <v>2</v>
      </c>
      <c r="F9" s="44" t="n">
        <v>260000</v>
      </c>
      <c r="G9" s="32" t="n">
        <f aca="false">E9*F9</f>
        <v>520000</v>
      </c>
      <c r="H9" s="4" t="s">
        <v>265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114</v>
      </c>
      <c r="D10" s="16" t="s">
        <v>263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266</v>
      </c>
      <c r="I10" s="16" t="s">
        <v>69</v>
      </c>
    </row>
    <row r="11" customFormat="false" ht="19.5" hidden="false" customHeight="true" outlineLevel="0" collapsed="false">
      <c r="A11" s="16" t="s">
        <v>267</v>
      </c>
      <c r="B11" s="16" t="s">
        <v>116</v>
      </c>
      <c r="C11" s="4" t="s">
        <v>117</v>
      </c>
      <c r="D11" s="16" t="s">
        <v>268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269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120</v>
      </c>
      <c r="D12" s="16" t="s">
        <v>268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269</v>
      </c>
      <c r="I12" s="16" t="s">
        <v>70</v>
      </c>
    </row>
    <row r="13" customFormat="false" ht="19.5" hidden="false" customHeight="true" outlineLevel="0" collapsed="false">
      <c r="A13" s="16"/>
      <c r="B13" s="16" t="s">
        <v>122</v>
      </c>
      <c r="C13" s="4" t="s">
        <v>123</v>
      </c>
      <c r="D13" s="16" t="s">
        <v>39</v>
      </c>
      <c r="E13" s="44" t="n">
        <v>1</v>
      </c>
      <c r="F13" s="44" t="n">
        <v>640000</v>
      </c>
      <c r="G13" s="32" t="n">
        <f aca="false">E13*F13</f>
        <v>640000</v>
      </c>
      <c r="H13" s="8" t="s">
        <v>270</v>
      </c>
      <c r="I13" s="16" t="s">
        <v>70</v>
      </c>
    </row>
    <row r="14" customFormat="false" ht="19.5" hidden="false" customHeight="true" outlineLevel="0" collapsed="false">
      <c r="A14" s="16"/>
      <c r="B14" s="16" t="s">
        <v>125</v>
      </c>
      <c r="C14" s="8" t="s">
        <v>126</v>
      </c>
      <c r="D14" s="15" t="s">
        <v>271</v>
      </c>
      <c r="E14" s="44" t="n">
        <v>1</v>
      </c>
      <c r="F14" s="44" t="n">
        <v>2000000</v>
      </c>
      <c r="G14" s="32" t="n">
        <f aca="false">E14*F14</f>
        <v>2000000</v>
      </c>
      <c r="H14" s="8" t="s">
        <v>272</v>
      </c>
      <c r="I14" s="16" t="s">
        <v>70</v>
      </c>
    </row>
    <row r="15" customFormat="false" ht="19.5" hidden="false" customHeight="true" outlineLevel="0" collapsed="false">
      <c r="A15" s="16"/>
      <c r="B15" s="16" t="s">
        <v>128</v>
      </c>
      <c r="C15" s="8" t="s">
        <v>129</v>
      </c>
      <c r="D15" s="15" t="s">
        <v>271</v>
      </c>
      <c r="E15" s="44" t="n">
        <v>1</v>
      </c>
      <c r="F15" s="44" t="n">
        <v>3000000</v>
      </c>
      <c r="G15" s="32" t="n">
        <f aca="false">E15*F15</f>
        <v>3000000</v>
      </c>
      <c r="H15" s="4"/>
      <c r="I15" s="16" t="s">
        <v>70</v>
      </c>
    </row>
    <row r="16" customFormat="false" ht="19.5" hidden="false" customHeight="true" outlineLevel="0" collapsed="false">
      <c r="A16" s="16" t="s">
        <v>68</v>
      </c>
      <c r="B16" s="16" t="s">
        <v>132</v>
      </c>
      <c r="C16" s="8" t="s">
        <v>133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68</v>
      </c>
    </row>
    <row r="17" customFormat="false" ht="19.5" hidden="false" customHeight="true" outlineLevel="0" collapsed="false">
      <c r="A17" s="16" t="s">
        <v>273</v>
      </c>
      <c r="B17" s="16" t="s">
        <v>134</v>
      </c>
      <c r="C17" s="8" t="s">
        <v>135</v>
      </c>
      <c r="D17" s="16" t="s">
        <v>274</v>
      </c>
      <c r="E17" s="44" t="n">
        <v>242</v>
      </c>
      <c r="F17" s="44" t="n">
        <v>5000</v>
      </c>
      <c r="G17" s="32" t="n">
        <f aca="false">E17*F17</f>
        <v>1210000</v>
      </c>
      <c r="H17" s="4" t="s">
        <v>275</v>
      </c>
      <c r="I17" s="16" t="s">
        <v>70</v>
      </c>
    </row>
    <row r="18" customFormat="false" ht="19.5" hidden="false" customHeight="true" outlineLevel="0" collapsed="false">
      <c r="A18" s="16"/>
      <c r="B18" s="16" t="s">
        <v>138</v>
      </c>
      <c r="C18" s="8" t="s">
        <v>139</v>
      </c>
      <c r="D18" s="16" t="s">
        <v>263</v>
      </c>
      <c r="E18" s="44" t="n">
        <v>2</v>
      </c>
      <c r="F18" s="44" t="n">
        <v>250000</v>
      </c>
      <c r="G18" s="32" t="n">
        <f aca="false">E18*F18</f>
        <v>500000</v>
      </c>
      <c r="H18" s="8" t="s">
        <v>276</v>
      </c>
      <c r="I18" s="16" t="s">
        <v>69</v>
      </c>
    </row>
    <row r="19" customFormat="false" ht="19.5" hidden="false" customHeight="true" outlineLevel="0" collapsed="false">
      <c r="A19" s="16"/>
      <c r="B19" s="16" t="s">
        <v>142</v>
      </c>
      <c r="C19" s="4" t="s">
        <v>143</v>
      </c>
      <c r="D19" s="16" t="s">
        <v>277</v>
      </c>
      <c r="E19" s="44" t="n">
        <v>2</v>
      </c>
      <c r="F19" s="44" t="n">
        <v>260000</v>
      </c>
      <c r="G19" s="32" t="n">
        <f aca="false">E19*F19</f>
        <v>520000</v>
      </c>
      <c r="H19" s="8" t="s">
        <v>278</v>
      </c>
      <c r="I19" s="16" t="s">
        <v>70</v>
      </c>
    </row>
    <row r="20" customFormat="false" ht="19.5" hidden="false" customHeight="true" outlineLevel="0" collapsed="false">
      <c r="A20" s="16"/>
      <c r="B20" s="16" t="s">
        <v>145</v>
      </c>
      <c r="C20" s="4"/>
      <c r="D20" s="16" t="s">
        <v>39</v>
      </c>
      <c r="E20" s="44" t="n">
        <v>1</v>
      </c>
      <c r="F20" s="44" t="n">
        <v>380000</v>
      </c>
      <c r="G20" s="32" t="n">
        <f aca="false">E20*F20</f>
        <v>380000</v>
      </c>
      <c r="H20" s="4"/>
      <c r="I20" s="16" t="s">
        <v>68</v>
      </c>
    </row>
    <row r="21" customFormat="false" ht="19.5" hidden="false" customHeight="true" outlineLevel="0" collapsed="false">
      <c r="A21" s="16" t="s">
        <v>70</v>
      </c>
      <c r="B21" s="16" t="s">
        <v>70</v>
      </c>
      <c r="C21" s="8" t="s">
        <v>146</v>
      </c>
      <c r="D21" s="16" t="s">
        <v>39</v>
      </c>
      <c r="E21" s="44" t="n">
        <v>1</v>
      </c>
      <c r="F21" s="44" t="n">
        <v>600000</v>
      </c>
      <c r="G21" s="32" t="n">
        <f aca="false">E21*F21</f>
        <v>600000</v>
      </c>
      <c r="H21" s="4"/>
      <c r="I21" s="16" t="s">
        <v>70</v>
      </c>
    </row>
    <row r="22" customFormat="false" ht="19.5" hidden="false" customHeight="true" outlineLevel="0" collapsed="false">
      <c r="A22" s="45" t="s">
        <v>279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19"/>
      <c r="I22" s="19"/>
    </row>
    <row r="23" customFormat="false" ht="19.5" hidden="false" customHeight="true" outlineLevel="0" collapsed="false">
      <c r="A23" s="45" t="s">
        <v>280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19"/>
      <c r="I23" s="19"/>
    </row>
    <row r="24" customFormat="false" ht="19.5" hidden="false" customHeight="true" outlineLevel="0" collapsed="false">
      <c r="A24" s="45" t="s">
        <v>281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19"/>
      <c r="I24" s="19"/>
    </row>
    <row r="25" customFormat="false" ht="19.5" hidden="false" customHeight="true" outlineLevel="0" collapsed="false">
      <c r="A25" s="45" t="s">
        <v>71</v>
      </c>
      <c r="B25" s="45"/>
      <c r="C25" s="45"/>
      <c r="D25" s="45"/>
      <c r="E25" s="45"/>
      <c r="F25" s="45"/>
      <c r="G25" s="46" t="n">
        <f aca="false">G23*요율근거!$C$5</f>
        <v>230688</v>
      </c>
      <c r="H25" s="42" t="s">
        <v>282</v>
      </c>
      <c r="I25" s="42"/>
    </row>
    <row r="26" customFormat="false" ht="19.5" hidden="false" customHeight="true" outlineLevel="0" collapsed="false">
      <c r="A26" s="45" t="s">
        <v>72</v>
      </c>
      <c r="B26" s="45"/>
      <c r="C26" s="45"/>
      <c r="D26" s="45"/>
      <c r="E26" s="45"/>
      <c r="F26" s="45"/>
      <c r="G26" s="46" t="n">
        <f aca="false">G23*요율근거!$C$6</f>
        <v>74520</v>
      </c>
      <c r="H26" s="42" t="s">
        <v>283</v>
      </c>
      <c r="I26" s="42"/>
    </row>
    <row r="27" customFormat="false" ht="19.5" hidden="false" customHeight="true" outlineLevel="0" collapsed="false">
      <c r="A27" s="45" t="s">
        <v>73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19" t="s">
        <v>284</v>
      </c>
      <c r="I27" s="19"/>
    </row>
    <row r="28" customFormat="false" ht="19.5" hidden="false" customHeight="true" outlineLevel="0" collapsed="false">
      <c r="A28" s="3" t="s">
        <v>74</v>
      </c>
      <c r="B28" s="3"/>
      <c r="C28" s="3"/>
      <c r="D28" s="3"/>
      <c r="E28" s="3"/>
      <c r="F28" s="3"/>
      <c r="G28" s="18" t="n">
        <f aca="false">SUM(G22:G27)</f>
        <v>20479654</v>
      </c>
      <c r="H28" s="19"/>
      <c r="I28" s="19"/>
    </row>
    <row r="29" customFormat="false" ht="19.5" hidden="false" customHeight="true" outlineLevel="0" collapsed="false">
      <c r="A29" s="45" t="s">
        <v>75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42" t="s">
        <v>285</v>
      </c>
      <c r="I29" s="42"/>
    </row>
    <row r="30" customFormat="false" ht="19.5" hidden="false" customHeight="true" outlineLevel="0" collapsed="false">
      <c r="A30" s="45" t="s">
        <v>76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19" t="s">
        <v>286</v>
      </c>
      <c r="I30" s="19"/>
    </row>
    <row r="31" customFormat="false" ht="19.5" hidden="false" customHeight="true" outlineLevel="0" collapsed="false">
      <c r="A31" s="45" t="s">
        <v>77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42" t="s">
        <v>287</v>
      </c>
      <c r="I31" s="42"/>
    </row>
    <row r="32" customFormat="false" ht="19.5" hidden="false" customHeight="true" outlineLevel="0" collapsed="false">
      <c r="A32" s="47" t="s">
        <v>150</v>
      </c>
      <c r="B32" s="47"/>
      <c r="C32" s="47"/>
      <c r="D32" s="47"/>
      <c r="E32" s="47"/>
      <c r="F32" s="47"/>
      <c r="G32" s="48" t="n">
        <f aca="false">G28+G29+G30+G31</f>
        <v>24522000</v>
      </c>
      <c r="H32" s="10" t="s">
        <v>288</v>
      </c>
      <c r="I32" s="10"/>
    </row>
    <row r="34" customFormat="false" ht="13.4" hidden="false" customHeight="false" outlineLevel="0" collapsed="false">
      <c r="A34" s="49" t="s">
        <v>289</v>
      </c>
      <c r="B34" s="49"/>
      <c r="C34" s="49"/>
      <c r="D34" s="49"/>
      <c r="E34" s="49"/>
      <c r="F34" s="49"/>
      <c r="G34" s="49"/>
      <c r="H34" s="49"/>
      <c r="I34" s="49"/>
    </row>
    <row r="35" customFormat="false" ht="13.4" hidden="false" customHeight="false" outlineLevel="0" collapsed="false">
      <c r="A35" s="49" t="s">
        <v>290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291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263</v>
      </c>
      <c r="E8" s="44" t="n">
        <v>9</v>
      </c>
      <c r="F8" s="44" t="n">
        <v>500000</v>
      </c>
      <c r="G8" s="32" t="n">
        <f aca="false">E8*F8</f>
        <v>4500000</v>
      </c>
      <c r="H8" s="4" t="s">
        <v>292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263</v>
      </c>
      <c r="E9" s="44" t="n">
        <v>6</v>
      </c>
      <c r="F9" s="44" t="n">
        <v>350000</v>
      </c>
      <c r="G9" s="32" t="n">
        <f aca="false">E9*F9</f>
        <v>2100000</v>
      </c>
      <c r="H9" s="4" t="s">
        <v>293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263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294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263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294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263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295</v>
      </c>
      <c r="I12" s="16" t="s">
        <v>69</v>
      </c>
    </row>
    <row r="13" customFormat="false" ht="19.5" hidden="false" customHeight="true" outlineLevel="0" collapsed="false">
      <c r="A13" s="16" t="s">
        <v>267</v>
      </c>
      <c r="B13" s="15" t="s">
        <v>172</v>
      </c>
      <c r="C13" s="4" t="s">
        <v>173</v>
      </c>
      <c r="D13" s="16" t="s">
        <v>268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296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271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267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182</v>
      </c>
      <c r="C17" s="8" t="s">
        <v>183</v>
      </c>
      <c r="D17" s="16" t="s">
        <v>268</v>
      </c>
      <c r="E17" s="44" t="n">
        <v>22</v>
      </c>
      <c r="F17" s="44" t="n">
        <v>100000</v>
      </c>
      <c r="G17" s="32" t="n">
        <f aca="false">E17*F17</f>
        <v>2200000</v>
      </c>
      <c r="H17" s="4" t="s">
        <v>297</v>
      </c>
      <c r="I17" s="16" t="s">
        <v>70</v>
      </c>
    </row>
    <row r="18" customFormat="false" ht="19.5" hidden="false" customHeight="true" outlineLevel="0" collapsed="false">
      <c r="A18" s="16" t="s">
        <v>70</v>
      </c>
      <c r="B18" s="16" t="s">
        <v>70</v>
      </c>
      <c r="C18" s="8" t="s">
        <v>185</v>
      </c>
      <c r="D18" s="16" t="s">
        <v>39</v>
      </c>
      <c r="E18" s="44" t="n">
        <v>1</v>
      </c>
      <c r="F18" s="44" t="n">
        <v>1400000</v>
      </c>
      <c r="G18" s="32" t="n">
        <f aca="false">E18*F18</f>
        <v>1400000</v>
      </c>
      <c r="H18" s="8" t="s">
        <v>298</v>
      </c>
      <c r="I18" s="16" t="s">
        <v>70</v>
      </c>
    </row>
    <row r="19" customFormat="false" ht="19.5" hidden="false" customHeight="true" outlineLevel="0" collapsed="false">
      <c r="A19" s="45" t="s">
        <v>279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19"/>
      <c r="I19" s="19"/>
    </row>
    <row r="20" customFormat="false" ht="19.5" hidden="false" customHeight="true" outlineLevel="0" collapsed="false">
      <c r="A20" s="45" t="s">
        <v>280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19"/>
      <c r="I20" s="19"/>
    </row>
    <row r="21" customFormat="false" ht="19.5" hidden="false" customHeight="true" outlineLevel="0" collapsed="false">
      <c r="A21" s="45" t="s">
        <v>281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19"/>
      <c r="I21" s="19"/>
    </row>
    <row r="22" customFormat="false" ht="19.5" hidden="false" customHeight="true" outlineLevel="0" collapsed="false">
      <c r="A22" s="45" t="s">
        <v>71</v>
      </c>
      <c r="B22" s="45"/>
      <c r="C22" s="45"/>
      <c r="D22" s="45"/>
      <c r="E22" s="45"/>
      <c r="F22" s="45"/>
      <c r="G22" s="46" t="n">
        <f aca="false">G20*요율근거!$C$5</f>
        <v>350660</v>
      </c>
      <c r="H22" s="42" t="s">
        <v>282</v>
      </c>
      <c r="I22" s="42"/>
    </row>
    <row r="23" customFormat="false" ht="19.5" hidden="false" customHeight="true" outlineLevel="0" collapsed="false">
      <c r="A23" s="45" t="s">
        <v>72</v>
      </c>
      <c r="B23" s="45"/>
      <c r="C23" s="45"/>
      <c r="D23" s="45"/>
      <c r="E23" s="45"/>
      <c r="F23" s="45"/>
      <c r="G23" s="46" t="n">
        <f aca="false">G20*요율근거!$C$6</f>
        <v>113275</v>
      </c>
      <c r="H23" s="42" t="s">
        <v>283</v>
      </c>
      <c r="I23" s="42"/>
    </row>
    <row r="24" customFormat="false" ht="19.5" hidden="false" customHeight="true" outlineLevel="0" collapsed="false">
      <c r="A24" s="45" t="s">
        <v>73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19" t="s">
        <v>284</v>
      </c>
      <c r="I24" s="19"/>
    </row>
    <row r="25" customFormat="false" ht="19.5" hidden="false" customHeight="true" outlineLevel="0" collapsed="false">
      <c r="A25" s="3" t="s">
        <v>74</v>
      </c>
      <c r="B25" s="3"/>
      <c r="C25" s="3"/>
      <c r="D25" s="3"/>
      <c r="E25" s="3"/>
      <c r="F25" s="3"/>
      <c r="G25" s="18" t="n">
        <f aca="false">SUM(G19:G24)</f>
        <v>23414718</v>
      </c>
      <c r="H25" s="19"/>
      <c r="I25" s="19"/>
    </row>
    <row r="26" customFormat="false" ht="19.5" hidden="false" customHeight="true" outlineLevel="0" collapsed="false">
      <c r="A26" s="45" t="s">
        <v>75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42" t="s">
        <v>285</v>
      </c>
      <c r="I26" s="42"/>
    </row>
    <row r="27" customFormat="false" ht="19.5" hidden="false" customHeight="true" outlineLevel="0" collapsed="false">
      <c r="A27" s="45" t="s">
        <v>76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19" t="s">
        <v>286</v>
      </c>
      <c r="I27" s="19"/>
    </row>
    <row r="28" customFormat="false" ht="19.5" hidden="false" customHeight="true" outlineLevel="0" collapsed="false">
      <c r="A28" s="45" t="s">
        <v>77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42" t="s">
        <v>287</v>
      </c>
      <c r="I28" s="42"/>
    </row>
    <row r="29" customFormat="false" ht="19.5" hidden="false" customHeight="true" outlineLevel="0" collapsed="false">
      <c r="A29" s="47" t="s">
        <v>150</v>
      </c>
      <c r="B29" s="47"/>
      <c r="C29" s="47"/>
      <c r="D29" s="47"/>
      <c r="E29" s="47"/>
      <c r="F29" s="47"/>
      <c r="G29" s="48" t="n">
        <f aca="false">G25+G26+G27+G28</f>
        <v>27721000</v>
      </c>
      <c r="H29" s="10" t="s">
        <v>288</v>
      </c>
      <c r="I29" s="10"/>
    </row>
    <row r="31" customFormat="false" ht="13.4" hidden="false" customHeight="false" outlineLevel="0" collapsed="false">
      <c r="A31" s="49" t="s">
        <v>289</v>
      </c>
      <c r="B31" s="49"/>
      <c r="C31" s="49"/>
      <c r="D31" s="49"/>
      <c r="E31" s="49"/>
      <c r="F31" s="49"/>
      <c r="G31" s="49"/>
      <c r="H31" s="49"/>
      <c r="I31" s="49"/>
    </row>
    <row r="32" customFormat="false" ht="13.4" hidden="false" customHeight="false" outlineLevel="0" collapsed="false">
      <c r="A32" s="49" t="s">
        <v>290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299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5" t="s">
        <v>188</v>
      </c>
      <c r="C8" s="4" t="s">
        <v>189</v>
      </c>
      <c r="D8" s="15" t="s">
        <v>300</v>
      </c>
      <c r="E8" s="44" t="n">
        <v>9991</v>
      </c>
      <c r="F8" s="44" t="n">
        <v>700</v>
      </c>
      <c r="G8" s="32" t="n">
        <f aca="false">E8*F8</f>
        <v>6993700</v>
      </c>
      <c r="H8" s="8" t="s">
        <v>301</v>
      </c>
      <c r="I8" s="16" t="s">
        <v>68</v>
      </c>
    </row>
    <row r="9" customFormat="false" ht="19.5" hidden="false" customHeight="true" outlineLevel="0" collapsed="false">
      <c r="A9" s="16"/>
      <c r="B9" s="15" t="s">
        <v>192</v>
      </c>
      <c r="C9" s="4"/>
      <c r="D9" s="16" t="s">
        <v>39</v>
      </c>
      <c r="E9" s="44" t="n">
        <v>1</v>
      </c>
      <c r="F9" s="44" t="n">
        <v>160000</v>
      </c>
      <c r="G9" s="32" t="n">
        <f aca="false">E9*F9</f>
        <v>160000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194</v>
      </c>
      <c r="C10" s="4"/>
      <c r="D10" s="16" t="s">
        <v>39</v>
      </c>
      <c r="E10" s="44" t="n">
        <v>1</v>
      </c>
      <c r="F10" s="44" t="n">
        <v>160000</v>
      </c>
      <c r="G10" s="32" t="n">
        <f aca="false">E10*F10</f>
        <v>160000</v>
      </c>
      <c r="H10" s="8" t="s">
        <v>302</v>
      </c>
      <c r="I10" s="16" t="s">
        <v>68</v>
      </c>
    </row>
    <row r="11" customFormat="false" ht="19.5" hidden="false" customHeight="true" outlineLevel="0" collapsed="false">
      <c r="A11" s="16"/>
      <c r="B11" s="16" t="s">
        <v>177</v>
      </c>
      <c r="C11" s="8" t="s">
        <v>195</v>
      </c>
      <c r="D11" s="16" t="s">
        <v>39</v>
      </c>
      <c r="E11" s="44" t="n">
        <v>1</v>
      </c>
      <c r="F11" s="44" t="n">
        <v>1000000</v>
      </c>
      <c r="G11" s="32" t="n">
        <f aca="false">E11*F11</f>
        <v>1000000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196</v>
      </c>
      <c r="C12" s="8" t="s">
        <v>197</v>
      </c>
      <c r="D12" s="16" t="s">
        <v>39</v>
      </c>
      <c r="E12" s="44" t="n">
        <v>1</v>
      </c>
      <c r="F12" s="44" t="n">
        <v>420000</v>
      </c>
      <c r="G12" s="32" t="n">
        <f aca="false">E12*F12</f>
        <v>420000</v>
      </c>
      <c r="H12" s="8" t="s">
        <v>303</v>
      </c>
      <c r="I12" s="16" t="s">
        <v>68</v>
      </c>
    </row>
    <row r="13" customFormat="false" ht="19.5" hidden="false" customHeight="true" outlineLevel="0" collapsed="false">
      <c r="A13" s="16" t="s">
        <v>69</v>
      </c>
      <c r="B13" s="16" t="s">
        <v>198</v>
      </c>
      <c r="C13" s="8" t="s">
        <v>199</v>
      </c>
      <c r="D13" s="16" t="s">
        <v>263</v>
      </c>
      <c r="E13" s="44" t="n">
        <v>6</v>
      </c>
      <c r="F13" s="44" t="n">
        <v>350000</v>
      </c>
      <c r="G13" s="32" t="n">
        <f aca="false">E13*F13</f>
        <v>2100000</v>
      </c>
      <c r="H13" s="4" t="s">
        <v>293</v>
      </c>
      <c r="I13" s="16" t="s">
        <v>69</v>
      </c>
    </row>
    <row r="14" customFormat="false" ht="19.5" hidden="false" customHeight="true" outlineLevel="0" collapsed="false">
      <c r="A14" s="16"/>
      <c r="B14" s="16" t="s">
        <v>152</v>
      </c>
      <c r="C14" s="8" t="s">
        <v>201</v>
      </c>
      <c r="D14" s="16" t="s">
        <v>263</v>
      </c>
      <c r="E14" s="44" t="n">
        <v>3</v>
      </c>
      <c r="F14" s="44" t="n">
        <v>500000</v>
      </c>
      <c r="G14" s="32" t="n">
        <f aca="false">E14*F14</f>
        <v>1500000</v>
      </c>
      <c r="H14" s="4" t="s">
        <v>266</v>
      </c>
      <c r="I14" s="16" t="s">
        <v>69</v>
      </c>
    </row>
    <row r="15" customFormat="false" ht="19.5" hidden="false" customHeight="true" outlineLevel="0" collapsed="false">
      <c r="A15" s="16"/>
      <c r="B15" s="16" t="s">
        <v>165</v>
      </c>
      <c r="C15" s="8" t="s">
        <v>203</v>
      </c>
      <c r="D15" s="16" t="s">
        <v>263</v>
      </c>
      <c r="E15" s="44" t="n">
        <v>3</v>
      </c>
      <c r="F15" s="44" t="n">
        <v>200000</v>
      </c>
      <c r="G15" s="32" t="n">
        <f aca="false">E15*F15</f>
        <v>600000</v>
      </c>
      <c r="H15" s="4" t="s">
        <v>266</v>
      </c>
      <c r="I15" s="16" t="s">
        <v>69</v>
      </c>
    </row>
    <row r="16" customFormat="false" ht="19.5" hidden="false" customHeight="true" outlineLevel="0" collapsed="false">
      <c r="A16" s="16"/>
      <c r="B16" s="16" t="s">
        <v>168</v>
      </c>
      <c r="C16" s="8" t="s">
        <v>205</v>
      </c>
      <c r="D16" s="16" t="s">
        <v>263</v>
      </c>
      <c r="E16" s="44" t="n">
        <v>3</v>
      </c>
      <c r="F16" s="44" t="n">
        <v>250000</v>
      </c>
      <c r="G16" s="32" t="n">
        <f aca="false">E16*F16</f>
        <v>750000</v>
      </c>
      <c r="H16" s="4" t="s">
        <v>266</v>
      </c>
      <c r="I16" s="16" t="s">
        <v>69</v>
      </c>
    </row>
    <row r="17" customFormat="false" ht="19.5" hidden="false" customHeight="true" outlineLevel="0" collapsed="false">
      <c r="A17" s="16" t="s">
        <v>267</v>
      </c>
      <c r="B17" s="16" t="s">
        <v>207</v>
      </c>
      <c r="C17" s="8" t="s">
        <v>208</v>
      </c>
      <c r="D17" s="16" t="s">
        <v>304</v>
      </c>
      <c r="E17" s="44" t="n">
        <v>2</v>
      </c>
      <c r="F17" s="44" t="n">
        <v>300000</v>
      </c>
      <c r="G17" s="32" t="n">
        <f aca="false">E17*F17</f>
        <v>600000</v>
      </c>
      <c r="H17" s="4"/>
      <c r="I17" s="16" t="s">
        <v>70</v>
      </c>
    </row>
    <row r="18" customFormat="false" ht="19.5" hidden="false" customHeight="true" outlineLevel="0" collapsed="false">
      <c r="A18" s="16"/>
      <c r="B18" s="16" t="s">
        <v>207</v>
      </c>
      <c r="C18" s="8" t="s">
        <v>210</v>
      </c>
      <c r="D18" s="16" t="s">
        <v>304</v>
      </c>
      <c r="E18" s="44" t="n">
        <v>1</v>
      </c>
      <c r="F18" s="44" t="n">
        <v>300000</v>
      </c>
      <c r="G18" s="32" t="n">
        <f aca="false">E18*F18</f>
        <v>300000</v>
      </c>
      <c r="H18" s="4"/>
      <c r="I18" s="16" t="s">
        <v>70</v>
      </c>
    </row>
    <row r="19" customFormat="false" ht="19.5" hidden="false" customHeight="true" outlineLevel="0" collapsed="false">
      <c r="A19" s="16"/>
      <c r="B19" s="15" t="s">
        <v>172</v>
      </c>
      <c r="C19" s="4" t="s">
        <v>173</v>
      </c>
      <c r="D19" s="16" t="s">
        <v>268</v>
      </c>
      <c r="E19" s="44" t="n">
        <v>3</v>
      </c>
      <c r="F19" s="44" t="n">
        <v>400000</v>
      </c>
      <c r="G19" s="32" t="n">
        <f aca="false">E19*F19</f>
        <v>1200000</v>
      </c>
      <c r="H19" s="4" t="s">
        <v>305</v>
      </c>
      <c r="I19" s="16" t="s">
        <v>70</v>
      </c>
    </row>
    <row r="20" customFormat="false" ht="19.5" hidden="false" customHeight="true" outlineLevel="0" collapsed="false">
      <c r="A20" s="16" t="s">
        <v>70</v>
      </c>
      <c r="B20" s="16" t="s">
        <v>70</v>
      </c>
      <c r="C20" s="8" t="s">
        <v>185</v>
      </c>
      <c r="D20" s="16" t="s">
        <v>39</v>
      </c>
      <c r="E20" s="44" t="n">
        <v>1</v>
      </c>
      <c r="F20" s="44" t="n">
        <v>750000</v>
      </c>
      <c r="G20" s="32" t="n">
        <f aca="false">E20*F20</f>
        <v>750000</v>
      </c>
      <c r="H20" s="8" t="s">
        <v>306</v>
      </c>
      <c r="I20" s="16" t="s">
        <v>70</v>
      </c>
    </row>
    <row r="21" customFormat="false" ht="19.5" hidden="false" customHeight="true" outlineLevel="0" collapsed="false">
      <c r="A21" s="45" t="s">
        <v>279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19"/>
      <c r="I21" s="19"/>
    </row>
    <row r="22" customFormat="false" ht="19.5" hidden="false" customHeight="true" outlineLevel="0" collapsed="false">
      <c r="A22" s="45" t="s">
        <v>280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19"/>
      <c r="I22" s="19"/>
    </row>
    <row r="23" customFormat="false" ht="19.5" hidden="false" customHeight="true" outlineLevel="0" collapsed="false">
      <c r="A23" s="45" t="s">
        <v>281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19"/>
      <c r="I23" s="19"/>
    </row>
    <row r="24" customFormat="false" ht="19.5" hidden="false" customHeight="true" outlineLevel="0" collapsed="false">
      <c r="A24" s="45" t="s">
        <v>71</v>
      </c>
      <c r="B24" s="45"/>
      <c r="C24" s="45"/>
      <c r="D24" s="45"/>
      <c r="E24" s="45"/>
      <c r="F24" s="45"/>
      <c r="G24" s="46" t="n">
        <f aca="false">G22*요율근거!$C$5</f>
        <v>176220</v>
      </c>
      <c r="H24" s="42" t="s">
        <v>282</v>
      </c>
      <c r="I24" s="42"/>
    </row>
    <row r="25" customFormat="false" ht="19.5" hidden="false" customHeight="true" outlineLevel="0" collapsed="false">
      <c r="A25" s="45" t="s">
        <v>72</v>
      </c>
      <c r="B25" s="45"/>
      <c r="C25" s="45"/>
      <c r="D25" s="45"/>
      <c r="E25" s="45"/>
      <c r="F25" s="45"/>
      <c r="G25" s="46" t="n">
        <f aca="false">G22*요율근거!$C$6</f>
        <v>56925</v>
      </c>
      <c r="H25" s="42" t="s">
        <v>283</v>
      </c>
      <c r="I25" s="42"/>
    </row>
    <row r="26" customFormat="false" ht="19.5" hidden="false" customHeight="true" outlineLevel="0" collapsed="false">
      <c r="A26" s="45" t="s">
        <v>73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19" t="s">
        <v>284</v>
      </c>
      <c r="I26" s="19"/>
    </row>
    <row r="27" customFormat="false" ht="19.5" hidden="false" customHeight="true" outlineLevel="0" collapsed="false">
      <c r="A27" s="3" t="s">
        <v>74</v>
      </c>
      <c r="B27" s="3"/>
      <c r="C27" s="3"/>
      <c r="D27" s="3"/>
      <c r="E27" s="3"/>
      <c r="F27" s="3"/>
      <c r="G27" s="18" t="n">
        <f aca="false">SUM(G21:G26)</f>
        <v>17192408.07</v>
      </c>
      <c r="H27" s="19"/>
      <c r="I27" s="19"/>
    </row>
    <row r="28" customFormat="false" ht="19.5" hidden="false" customHeight="true" outlineLevel="0" collapsed="false">
      <c r="A28" s="45" t="s">
        <v>75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42" t="s">
        <v>285</v>
      </c>
      <c r="I28" s="42"/>
    </row>
    <row r="29" customFormat="false" ht="19.5" hidden="false" customHeight="true" outlineLevel="0" collapsed="false">
      <c r="A29" s="45" t="s">
        <v>76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19" t="s">
        <v>286</v>
      </c>
      <c r="I29" s="19"/>
    </row>
    <row r="30" customFormat="false" ht="19.5" hidden="false" customHeight="true" outlineLevel="0" collapsed="false">
      <c r="A30" s="45" t="s">
        <v>77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42" t="s">
        <v>287</v>
      </c>
      <c r="I30" s="42"/>
    </row>
    <row r="31" customFormat="false" ht="19.5" hidden="false" customHeight="true" outlineLevel="0" collapsed="false">
      <c r="A31" s="47" t="s">
        <v>150</v>
      </c>
      <c r="B31" s="47"/>
      <c r="C31" s="47"/>
      <c r="D31" s="47"/>
      <c r="E31" s="47"/>
      <c r="F31" s="47"/>
      <c r="G31" s="48" t="n">
        <f aca="false">G27+G28+G29+G30</f>
        <v>19449000</v>
      </c>
      <c r="H31" s="10" t="s">
        <v>288</v>
      </c>
      <c r="I31" s="10"/>
    </row>
    <row r="33" customFormat="false" ht="13.4" hidden="false" customHeight="false" outlineLevel="0" collapsed="false">
      <c r="A33" s="49" t="s">
        <v>289</v>
      </c>
      <c r="B33" s="49"/>
      <c r="C33" s="49"/>
      <c r="D33" s="49"/>
      <c r="E33" s="49"/>
      <c r="F33" s="49"/>
      <c r="G33" s="49"/>
      <c r="H33" s="49"/>
      <c r="I33" s="49"/>
    </row>
    <row r="34" customFormat="false" ht="13.4" hidden="false" customHeight="false" outlineLevel="0" collapsed="false">
      <c r="A34" s="49" t="s">
        <v>290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217</v>
      </c>
      <c r="D8" s="16" t="s">
        <v>263</v>
      </c>
      <c r="E8" s="44" t="n">
        <v>21</v>
      </c>
      <c r="F8" s="44" t="n">
        <v>300000</v>
      </c>
      <c r="G8" s="32" t="n">
        <f aca="false">E8*F8</f>
        <v>6300000</v>
      </c>
      <c r="H8" s="4" t="s">
        <v>308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263</v>
      </c>
      <c r="E9" s="44" t="n">
        <v>4</v>
      </c>
      <c r="F9" s="44" t="n">
        <v>260000</v>
      </c>
      <c r="G9" s="32" t="n">
        <f aca="false">E9*F9</f>
        <v>1040000</v>
      </c>
      <c r="H9" s="4" t="s">
        <v>309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221</v>
      </c>
      <c r="D10" s="16" t="s">
        <v>263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266</v>
      </c>
      <c r="I10" s="16" t="s">
        <v>69</v>
      </c>
    </row>
    <row r="11" customFormat="false" ht="19.5" hidden="false" customHeight="true" outlineLevel="0" collapsed="false">
      <c r="A11" s="16" t="s">
        <v>267</v>
      </c>
      <c r="B11" s="16" t="s">
        <v>116</v>
      </c>
      <c r="C11" s="4" t="s">
        <v>222</v>
      </c>
      <c r="D11" s="16" t="s">
        <v>268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310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223</v>
      </c>
      <c r="D12" s="16" t="s">
        <v>268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310</v>
      </c>
      <c r="I12" s="16" t="s">
        <v>70</v>
      </c>
    </row>
    <row r="13" customFormat="false" ht="19.5" hidden="false" customHeight="true" outlineLevel="0" collapsed="false">
      <c r="A13" s="16"/>
      <c r="B13" s="16" t="s">
        <v>116</v>
      </c>
      <c r="C13" s="4" t="s">
        <v>224</v>
      </c>
      <c r="D13" s="16" t="s">
        <v>268</v>
      </c>
      <c r="E13" s="44" t="n">
        <v>1</v>
      </c>
      <c r="F13" s="44" t="n">
        <v>3500000</v>
      </c>
      <c r="G13" s="32" t="n">
        <f aca="false">E13*F13</f>
        <v>3500000</v>
      </c>
      <c r="H13" s="8" t="s">
        <v>311</v>
      </c>
      <c r="I13" s="16" t="s">
        <v>70</v>
      </c>
    </row>
    <row r="14" customFormat="false" ht="19.5" hidden="false" customHeight="true" outlineLevel="0" collapsed="false">
      <c r="A14" s="16"/>
      <c r="B14" s="15" t="s">
        <v>227</v>
      </c>
      <c r="C14" s="8" t="s">
        <v>228</v>
      </c>
      <c r="D14" s="16" t="s">
        <v>39</v>
      </c>
      <c r="E14" s="44" t="n">
        <v>1</v>
      </c>
      <c r="F14" s="44" t="n">
        <v>1200000</v>
      </c>
      <c r="G14" s="32" t="n">
        <f aca="false">E14*F14</f>
        <v>1200000</v>
      </c>
      <c r="H14" s="8" t="s">
        <v>312</v>
      </c>
      <c r="I14" s="16" t="s">
        <v>70</v>
      </c>
    </row>
    <row r="15" customFormat="false" ht="19.5" hidden="false" customHeight="true" outlineLevel="0" collapsed="false">
      <c r="A15" s="16"/>
      <c r="B15" s="16" t="s">
        <v>229</v>
      </c>
      <c r="C15" s="4" t="s">
        <v>230</v>
      </c>
      <c r="D15" s="16" t="s">
        <v>39</v>
      </c>
      <c r="E15" s="44" t="n">
        <v>1</v>
      </c>
      <c r="F15" s="44" t="n">
        <v>800000</v>
      </c>
      <c r="G15" s="32" t="n">
        <f aca="false">E15*F15</f>
        <v>800000</v>
      </c>
      <c r="H15" s="4" t="s">
        <v>313</v>
      </c>
      <c r="I15" s="16" t="s">
        <v>70</v>
      </c>
    </row>
    <row r="16" customFormat="false" ht="19.5" hidden="false" customHeight="true" outlineLevel="0" collapsed="false">
      <c r="A16" s="16"/>
      <c r="B16" s="16" t="s">
        <v>122</v>
      </c>
      <c r="C16" s="4" t="s">
        <v>123</v>
      </c>
      <c r="D16" s="16" t="s">
        <v>277</v>
      </c>
      <c r="E16" s="44" t="n">
        <v>2</v>
      </c>
      <c r="F16" s="44" t="n">
        <v>640000</v>
      </c>
      <c r="G16" s="32" t="n">
        <f aca="false">E16*F16</f>
        <v>1280000</v>
      </c>
      <c r="H16" s="8" t="s">
        <v>314</v>
      </c>
      <c r="I16" s="16" t="s">
        <v>70</v>
      </c>
    </row>
    <row r="17" customFormat="false" ht="19.5" hidden="false" customHeight="true" outlineLevel="0" collapsed="false">
      <c r="A17" s="16"/>
      <c r="B17" s="16" t="s">
        <v>128</v>
      </c>
      <c r="C17" s="8" t="s">
        <v>129</v>
      </c>
      <c r="D17" s="15" t="s">
        <v>271</v>
      </c>
      <c r="E17" s="44" t="n">
        <v>1</v>
      </c>
      <c r="F17" s="44" t="n">
        <v>3000000</v>
      </c>
      <c r="G17" s="32" t="n">
        <f aca="false">E17*F17</f>
        <v>3000000</v>
      </c>
      <c r="H17" s="4"/>
      <c r="I17" s="16" t="s">
        <v>70</v>
      </c>
    </row>
    <row r="18" customFormat="false" ht="19.5" hidden="false" customHeight="true" outlineLevel="0" collapsed="false">
      <c r="A18" s="16" t="s">
        <v>68</v>
      </c>
      <c r="B18" s="16" t="s">
        <v>232</v>
      </c>
      <c r="C18" s="8" t="s">
        <v>233</v>
      </c>
      <c r="D18" s="16" t="s">
        <v>39</v>
      </c>
      <c r="E18" s="44" t="n">
        <v>1</v>
      </c>
      <c r="F18" s="44" t="n">
        <v>900000</v>
      </c>
      <c r="G18" s="32" t="n">
        <f aca="false">E18*F18</f>
        <v>900000</v>
      </c>
      <c r="H18" s="8" t="s">
        <v>315</v>
      </c>
      <c r="I18" s="16" t="s">
        <v>68</v>
      </c>
    </row>
    <row r="19" customFormat="false" ht="19.5" hidden="false" customHeight="true" outlineLevel="0" collapsed="false">
      <c r="A19" s="16"/>
      <c r="B19" s="16" t="s">
        <v>132</v>
      </c>
      <c r="C19" s="8" t="s">
        <v>234</v>
      </c>
      <c r="D19" s="16" t="s">
        <v>39</v>
      </c>
      <c r="E19" s="44" t="n">
        <v>1</v>
      </c>
      <c r="F19" s="44" t="n">
        <v>1000000</v>
      </c>
      <c r="G19" s="32" t="n">
        <f aca="false">E19*F19</f>
        <v>1000000</v>
      </c>
      <c r="H19" s="4"/>
      <c r="I19" s="16" t="s">
        <v>68</v>
      </c>
    </row>
    <row r="20" customFormat="false" ht="19.5" hidden="false" customHeight="true" outlineLevel="0" collapsed="false">
      <c r="A20" s="16" t="s">
        <v>273</v>
      </c>
      <c r="B20" s="16" t="s">
        <v>134</v>
      </c>
      <c r="C20" s="8" t="s">
        <v>135</v>
      </c>
      <c r="D20" s="16" t="s">
        <v>274</v>
      </c>
      <c r="E20" s="44" t="n">
        <v>242</v>
      </c>
      <c r="F20" s="44" t="n">
        <v>5000</v>
      </c>
      <c r="G20" s="32" t="n">
        <f aca="false">E20*F20</f>
        <v>1210000</v>
      </c>
      <c r="H20" s="4" t="s">
        <v>316</v>
      </c>
      <c r="I20" s="16" t="s">
        <v>70</v>
      </c>
    </row>
    <row r="21" customFormat="false" ht="19.5" hidden="false" customHeight="true" outlineLevel="0" collapsed="false">
      <c r="A21" s="16"/>
      <c r="B21" s="16" t="s">
        <v>138</v>
      </c>
      <c r="C21" s="8" t="s">
        <v>139</v>
      </c>
      <c r="D21" s="16" t="s">
        <v>263</v>
      </c>
      <c r="E21" s="44" t="n">
        <v>2</v>
      </c>
      <c r="F21" s="44" t="n">
        <v>250000</v>
      </c>
      <c r="G21" s="32" t="n">
        <f aca="false">E21*F21</f>
        <v>500000</v>
      </c>
      <c r="H21" s="4"/>
      <c r="I21" s="16" t="s">
        <v>69</v>
      </c>
    </row>
    <row r="22" customFormat="false" ht="19.5" hidden="false" customHeight="true" outlineLevel="0" collapsed="false">
      <c r="A22" s="16"/>
      <c r="B22" s="16" t="s">
        <v>142</v>
      </c>
      <c r="C22" s="4" t="s">
        <v>143</v>
      </c>
      <c r="D22" s="16" t="s">
        <v>277</v>
      </c>
      <c r="E22" s="44" t="n">
        <v>2</v>
      </c>
      <c r="F22" s="44" t="n">
        <v>260000</v>
      </c>
      <c r="G22" s="32" t="n">
        <f aca="false">E22*F22</f>
        <v>520000</v>
      </c>
      <c r="H22" s="4"/>
      <c r="I22" s="16" t="s">
        <v>70</v>
      </c>
    </row>
    <row r="23" customFormat="false" ht="19.5" hidden="false" customHeight="true" outlineLevel="0" collapsed="false">
      <c r="A23" s="16"/>
      <c r="B23" s="16" t="s">
        <v>145</v>
      </c>
      <c r="C23" s="4"/>
      <c r="D23" s="16" t="s">
        <v>39</v>
      </c>
      <c r="E23" s="44" t="n">
        <v>1</v>
      </c>
      <c r="F23" s="44" t="n">
        <v>380000</v>
      </c>
      <c r="G23" s="32" t="n">
        <f aca="false">E23*F23</f>
        <v>380000</v>
      </c>
      <c r="H23" s="4"/>
      <c r="I23" s="16" t="s">
        <v>68</v>
      </c>
    </row>
    <row r="24" customFormat="false" ht="19.5" hidden="false" customHeight="true" outlineLevel="0" collapsed="false">
      <c r="A24" s="16" t="s">
        <v>70</v>
      </c>
      <c r="B24" s="16" t="s">
        <v>70</v>
      </c>
      <c r="C24" s="8" t="s">
        <v>146</v>
      </c>
      <c r="D24" s="16" t="s">
        <v>39</v>
      </c>
      <c r="E24" s="44" t="n">
        <v>1</v>
      </c>
      <c r="F24" s="44" t="n">
        <v>600000</v>
      </c>
      <c r="G24" s="32" t="n">
        <f aca="false">E24*F24</f>
        <v>600000</v>
      </c>
      <c r="H24" s="4"/>
      <c r="I24" s="16" t="s">
        <v>70</v>
      </c>
    </row>
    <row r="25" customFormat="false" ht="19.5" hidden="false" customHeight="true" outlineLevel="0" collapsed="false">
      <c r="A25" s="45" t="s">
        <v>279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19"/>
      <c r="I25" s="19"/>
    </row>
    <row r="26" customFormat="false" ht="19.5" hidden="false" customHeight="true" outlineLevel="0" collapsed="false">
      <c r="A26" s="45" t="s">
        <v>280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19"/>
      <c r="I26" s="19"/>
    </row>
    <row r="27" customFormat="false" ht="19.5" hidden="false" customHeight="true" outlineLevel="0" collapsed="false">
      <c r="A27" s="45" t="s">
        <v>281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19"/>
      <c r="I27" s="19"/>
    </row>
    <row r="28" customFormat="false" ht="19.5" hidden="false" customHeight="true" outlineLevel="0" collapsed="false">
      <c r="A28" s="45" t="s">
        <v>71</v>
      </c>
      <c r="B28" s="45"/>
      <c r="C28" s="45"/>
      <c r="D28" s="45"/>
      <c r="E28" s="45"/>
      <c r="F28" s="45"/>
      <c r="G28" s="46" t="n">
        <f aca="false">G26*요율근거!$C$5</f>
        <v>313280</v>
      </c>
      <c r="H28" s="42" t="s">
        <v>282</v>
      </c>
      <c r="I28" s="42"/>
    </row>
    <row r="29" customFormat="false" ht="19.5" hidden="false" customHeight="true" outlineLevel="0" collapsed="false">
      <c r="A29" s="45" t="s">
        <v>72</v>
      </c>
      <c r="B29" s="45"/>
      <c r="C29" s="45"/>
      <c r="D29" s="45"/>
      <c r="E29" s="45"/>
      <c r="F29" s="45"/>
      <c r="G29" s="46" t="n">
        <f aca="false">G26*요율근거!$C$6</f>
        <v>101200</v>
      </c>
      <c r="H29" s="42" t="s">
        <v>283</v>
      </c>
      <c r="I29" s="42"/>
    </row>
    <row r="30" customFormat="false" ht="19.5" hidden="false" customHeight="true" outlineLevel="0" collapsed="false">
      <c r="A30" s="45" t="s">
        <v>73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19" t="s">
        <v>284</v>
      </c>
      <c r="I30" s="19"/>
    </row>
    <row r="31" customFormat="false" ht="19.5" hidden="false" customHeight="true" outlineLevel="0" collapsed="false">
      <c r="A31" s="3" t="s">
        <v>74</v>
      </c>
      <c r="B31" s="3"/>
      <c r="C31" s="3"/>
      <c r="D31" s="3"/>
      <c r="E31" s="3"/>
      <c r="F31" s="3"/>
      <c r="G31" s="18" t="n">
        <f aca="false">SUM(G25:G30)</f>
        <v>28049068</v>
      </c>
      <c r="H31" s="19"/>
      <c r="I31" s="19"/>
    </row>
    <row r="32" customFormat="false" ht="19.5" hidden="false" customHeight="true" outlineLevel="0" collapsed="false">
      <c r="A32" s="45" t="s">
        <v>75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42" t="s">
        <v>285</v>
      </c>
      <c r="I32" s="42"/>
    </row>
    <row r="33" customFormat="false" ht="19.5" hidden="false" customHeight="true" outlineLevel="0" collapsed="false">
      <c r="A33" s="45" t="s">
        <v>76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19" t="s">
        <v>286</v>
      </c>
      <c r="I33" s="19"/>
    </row>
    <row r="34" customFormat="false" ht="19.5" hidden="false" customHeight="true" outlineLevel="0" collapsed="false">
      <c r="A34" s="45" t="s">
        <v>77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42" t="s">
        <v>287</v>
      </c>
      <c r="I34" s="42"/>
    </row>
    <row r="35" customFormat="false" ht="19.5" hidden="false" customHeight="true" outlineLevel="0" collapsed="false">
      <c r="A35" s="47" t="s">
        <v>150</v>
      </c>
      <c r="B35" s="47"/>
      <c r="C35" s="47"/>
      <c r="D35" s="47"/>
      <c r="E35" s="47"/>
      <c r="F35" s="47"/>
      <c r="G35" s="48" t="n">
        <f aca="false">G31+G32+G33+G34</f>
        <v>33527000</v>
      </c>
      <c r="H35" s="10" t="s">
        <v>288</v>
      </c>
      <c r="I35" s="10"/>
    </row>
    <row r="37" customFormat="false" ht="13.4" hidden="false" customHeight="false" outlineLevel="0" collapsed="false">
      <c r="A37" s="49" t="s">
        <v>289</v>
      </c>
      <c r="B37" s="49"/>
      <c r="C37" s="49"/>
      <c r="D37" s="49"/>
      <c r="E37" s="49"/>
      <c r="F37" s="49"/>
      <c r="G37" s="49"/>
      <c r="H37" s="49"/>
      <c r="I37" s="49"/>
    </row>
    <row r="38" customFormat="false" ht="13.4" hidden="false" customHeight="false" outlineLevel="0" collapsed="false">
      <c r="A38" s="49" t="s">
        <v>290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263</v>
      </c>
      <c r="E8" s="44" t="n">
        <v>9</v>
      </c>
      <c r="F8" s="44" t="n">
        <v>500000</v>
      </c>
      <c r="G8" s="32" t="n">
        <f aca="false">E8*F8</f>
        <v>4500000</v>
      </c>
      <c r="H8" s="4" t="s">
        <v>292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263</v>
      </c>
      <c r="E9" s="44" t="n">
        <v>6</v>
      </c>
      <c r="F9" s="44" t="n">
        <v>350000</v>
      </c>
      <c r="G9" s="32" t="n">
        <f aca="false">E9*F9</f>
        <v>2100000</v>
      </c>
      <c r="H9" s="4" t="s">
        <v>293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263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294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263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294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263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295</v>
      </c>
      <c r="I12" s="16" t="s">
        <v>69</v>
      </c>
    </row>
    <row r="13" customFormat="false" ht="19.5" hidden="false" customHeight="true" outlineLevel="0" collapsed="false">
      <c r="A13" s="16" t="s">
        <v>267</v>
      </c>
      <c r="B13" s="15" t="s">
        <v>172</v>
      </c>
      <c r="C13" s="4" t="s">
        <v>173</v>
      </c>
      <c r="D13" s="16" t="s">
        <v>268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296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271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267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182</v>
      </c>
      <c r="C17" s="8" t="s">
        <v>183</v>
      </c>
      <c r="D17" s="16" t="s">
        <v>268</v>
      </c>
      <c r="E17" s="44" t="n">
        <v>22</v>
      </c>
      <c r="F17" s="44" t="n">
        <v>100000</v>
      </c>
      <c r="G17" s="32" t="n">
        <f aca="false">E17*F17</f>
        <v>2200000</v>
      </c>
      <c r="H17" s="4" t="s">
        <v>297</v>
      </c>
      <c r="I17" s="16" t="s">
        <v>70</v>
      </c>
    </row>
    <row r="18" customFormat="false" ht="19.5" hidden="false" customHeight="true" outlineLevel="0" collapsed="false">
      <c r="A18" s="16" t="s">
        <v>70</v>
      </c>
      <c r="B18" s="16" t="s">
        <v>70</v>
      </c>
      <c r="C18" s="8" t="s">
        <v>185</v>
      </c>
      <c r="D18" s="16" t="s">
        <v>39</v>
      </c>
      <c r="E18" s="44" t="n">
        <v>1</v>
      </c>
      <c r="F18" s="44" t="n">
        <v>1400000</v>
      </c>
      <c r="G18" s="32" t="n">
        <f aca="false">E18*F18</f>
        <v>1400000</v>
      </c>
      <c r="H18" s="8" t="s">
        <v>298</v>
      </c>
      <c r="I18" s="16" t="s">
        <v>70</v>
      </c>
    </row>
    <row r="19" customFormat="false" ht="19.5" hidden="false" customHeight="true" outlineLevel="0" collapsed="false">
      <c r="A19" s="45" t="s">
        <v>279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19"/>
      <c r="I19" s="19"/>
    </row>
    <row r="20" customFormat="false" ht="19.5" hidden="false" customHeight="true" outlineLevel="0" collapsed="false">
      <c r="A20" s="45" t="s">
        <v>280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19"/>
      <c r="I20" s="19"/>
    </row>
    <row r="21" customFormat="false" ht="19.5" hidden="false" customHeight="true" outlineLevel="0" collapsed="false">
      <c r="A21" s="45" t="s">
        <v>281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19"/>
      <c r="I21" s="19"/>
    </row>
    <row r="22" customFormat="false" ht="19.5" hidden="false" customHeight="true" outlineLevel="0" collapsed="false">
      <c r="A22" s="45" t="s">
        <v>71</v>
      </c>
      <c r="B22" s="45"/>
      <c r="C22" s="45"/>
      <c r="D22" s="45"/>
      <c r="E22" s="45"/>
      <c r="F22" s="45"/>
      <c r="G22" s="46" t="n">
        <f aca="false">G20*요율근거!$C$5</f>
        <v>350660</v>
      </c>
      <c r="H22" s="42" t="s">
        <v>282</v>
      </c>
      <c r="I22" s="42"/>
    </row>
    <row r="23" customFormat="false" ht="19.5" hidden="false" customHeight="true" outlineLevel="0" collapsed="false">
      <c r="A23" s="45" t="s">
        <v>72</v>
      </c>
      <c r="B23" s="45"/>
      <c r="C23" s="45"/>
      <c r="D23" s="45"/>
      <c r="E23" s="45"/>
      <c r="F23" s="45"/>
      <c r="G23" s="46" t="n">
        <f aca="false">G20*요율근거!$C$6</f>
        <v>113275</v>
      </c>
      <c r="H23" s="42" t="s">
        <v>283</v>
      </c>
      <c r="I23" s="42"/>
    </row>
    <row r="24" customFormat="false" ht="19.5" hidden="false" customHeight="true" outlineLevel="0" collapsed="false">
      <c r="A24" s="45" t="s">
        <v>73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19" t="s">
        <v>284</v>
      </c>
      <c r="I24" s="19"/>
    </row>
    <row r="25" customFormat="false" ht="19.5" hidden="false" customHeight="true" outlineLevel="0" collapsed="false">
      <c r="A25" s="3" t="s">
        <v>74</v>
      </c>
      <c r="B25" s="3"/>
      <c r="C25" s="3"/>
      <c r="D25" s="3"/>
      <c r="E25" s="3"/>
      <c r="F25" s="3"/>
      <c r="G25" s="18" t="n">
        <f aca="false">SUM(G19:G24)</f>
        <v>23414718</v>
      </c>
      <c r="H25" s="19"/>
      <c r="I25" s="19"/>
    </row>
    <row r="26" customFormat="false" ht="19.5" hidden="false" customHeight="true" outlineLevel="0" collapsed="false">
      <c r="A26" s="45" t="s">
        <v>75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42" t="s">
        <v>285</v>
      </c>
      <c r="I26" s="42"/>
    </row>
    <row r="27" customFormat="false" ht="19.5" hidden="false" customHeight="true" outlineLevel="0" collapsed="false">
      <c r="A27" s="45" t="s">
        <v>76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19" t="s">
        <v>286</v>
      </c>
      <c r="I27" s="19"/>
    </row>
    <row r="28" customFormat="false" ht="19.5" hidden="false" customHeight="true" outlineLevel="0" collapsed="false">
      <c r="A28" s="45" t="s">
        <v>77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42" t="s">
        <v>287</v>
      </c>
      <c r="I28" s="42"/>
    </row>
    <row r="29" customFormat="false" ht="19.5" hidden="false" customHeight="true" outlineLevel="0" collapsed="false">
      <c r="A29" s="47" t="s">
        <v>150</v>
      </c>
      <c r="B29" s="47"/>
      <c r="C29" s="47"/>
      <c r="D29" s="47"/>
      <c r="E29" s="47"/>
      <c r="F29" s="47"/>
      <c r="G29" s="48" t="n">
        <f aca="false">G25+G26+G27+G28</f>
        <v>27721000</v>
      </c>
      <c r="H29" s="10" t="s">
        <v>288</v>
      </c>
      <c r="I29" s="10"/>
    </row>
    <row r="31" customFormat="false" ht="13.4" hidden="false" customHeight="false" outlineLevel="0" collapsed="false">
      <c r="A31" s="49" t="s">
        <v>289</v>
      </c>
      <c r="B31" s="49"/>
      <c r="C31" s="49"/>
      <c r="D31" s="49"/>
      <c r="E31" s="49"/>
      <c r="F31" s="49"/>
      <c r="G31" s="49"/>
      <c r="H31" s="49"/>
      <c r="I31" s="49"/>
    </row>
    <row r="32" customFormat="false" ht="13.4" hidden="false" customHeight="false" outlineLevel="0" collapsed="false">
      <c r="A32" s="49" t="s">
        <v>290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257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258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318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260</v>
      </c>
      <c r="F7" s="14" t="s">
        <v>261</v>
      </c>
      <c r="G7" s="14" t="s">
        <v>262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6" t="s">
        <v>239</v>
      </c>
      <c r="C8" s="4" t="s">
        <v>240</v>
      </c>
      <c r="D8" s="16" t="s">
        <v>39</v>
      </c>
      <c r="E8" s="44" t="n">
        <v>1</v>
      </c>
      <c r="F8" s="44" t="n">
        <v>0</v>
      </c>
      <c r="G8" s="32" t="n">
        <f aca="false">E8*F8</f>
        <v>0</v>
      </c>
      <c r="H8" s="8" t="s">
        <v>319</v>
      </c>
      <c r="I8" s="16" t="s">
        <v>68</v>
      </c>
    </row>
    <row r="9" customFormat="false" ht="19.5" hidden="false" customHeight="true" outlineLevel="0" collapsed="false">
      <c r="A9" s="16"/>
      <c r="B9" s="16" t="s">
        <v>177</v>
      </c>
      <c r="C9" s="8" t="s">
        <v>195</v>
      </c>
      <c r="D9" s="16" t="s">
        <v>39</v>
      </c>
      <c r="E9" s="44" t="n">
        <v>1</v>
      </c>
      <c r="F9" s="44" t="n">
        <v>420000</v>
      </c>
      <c r="G9" s="32" t="n">
        <f aca="false">E9*F9</f>
        <v>420000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242</v>
      </c>
      <c r="C10" s="8" t="s">
        <v>243</v>
      </c>
      <c r="D10" s="16" t="s">
        <v>39</v>
      </c>
      <c r="E10" s="44" t="n">
        <v>1</v>
      </c>
      <c r="F10" s="44" t="n">
        <v>380000</v>
      </c>
      <c r="G10" s="32" t="n">
        <f aca="false">E10*F10</f>
        <v>380000</v>
      </c>
      <c r="H10" s="8" t="s">
        <v>320</v>
      </c>
      <c r="I10" s="16" t="s">
        <v>68</v>
      </c>
    </row>
    <row r="11" customFormat="false" ht="19.5" hidden="false" customHeight="true" outlineLevel="0" collapsed="false">
      <c r="A11" s="16" t="s">
        <v>69</v>
      </c>
      <c r="B11" s="16" t="s">
        <v>198</v>
      </c>
      <c r="C11" s="8" t="s">
        <v>244</v>
      </c>
      <c r="D11" s="16" t="s">
        <v>263</v>
      </c>
      <c r="E11" s="44" t="n">
        <v>2</v>
      </c>
      <c r="F11" s="44" t="n">
        <v>350000</v>
      </c>
      <c r="G11" s="32" t="n">
        <f aca="false">E11*F11</f>
        <v>700000</v>
      </c>
      <c r="H11" s="4" t="s">
        <v>321</v>
      </c>
      <c r="I11" s="16" t="s">
        <v>69</v>
      </c>
    </row>
    <row r="12" customFormat="false" ht="19.5" hidden="false" customHeight="true" outlineLevel="0" collapsed="false">
      <c r="A12" s="16"/>
      <c r="B12" s="16" t="s">
        <v>152</v>
      </c>
      <c r="C12" s="8" t="s">
        <v>246</v>
      </c>
      <c r="D12" s="16" t="s">
        <v>263</v>
      </c>
      <c r="E12" s="44" t="n">
        <v>2</v>
      </c>
      <c r="F12" s="44" t="n">
        <v>500000</v>
      </c>
      <c r="G12" s="32" t="n">
        <f aca="false">E12*F12</f>
        <v>1000000</v>
      </c>
      <c r="H12" s="4" t="s">
        <v>321</v>
      </c>
      <c r="I12" s="16" t="s">
        <v>69</v>
      </c>
    </row>
    <row r="13" customFormat="false" ht="19.5" hidden="false" customHeight="true" outlineLevel="0" collapsed="false">
      <c r="A13" s="16"/>
      <c r="B13" s="16" t="s">
        <v>165</v>
      </c>
      <c r="C13" s="8" t="s">
        <v>248</v>
      </c>
      <c r="D13" s="16" t="s">
        <v>263</v>
      </c>
      <c r="E13" s="44" t="n">
        <v>2</v>
      </c>
      <c r="F13" s="44" t="n">
        <v>200000</v>
      </c>
      <c r="G13" s="32" t="n">
        <f aca="false">E13*F13</f>
        <v>400000</v>
      </c>
      <c r="H13" s="4" t="s">
        <v>321</v>
      </c>
      <c r="I13" s="16" t="s">
        <v>69</v>
      </c>
    </row>
    <row r="14" customFormat="false" ht="19.5" hidden="false" customHeight="true" outlineLevel="0" collapsed="false">
      <c r="A14" s="16"/>
      <c r="B14" s="16" t="s">
        <v>168</v>
      </c>
      <c r="C14" s="8" t="s">
        <v>250</v>
      </c>
      <c r="D14" s="16" t="s">
        <v>263</v>
      </c>
      <c r="E14" s="44" t="n">
        <v>1</v>
      </c>
      <c r="F14" s="44" t="n">
        <v>250000</v>
      </c>
      <c r="G14" s="32" t="n">
        <f aca="false">E14*F14</f>
        <v>250000</v>
      </c>
      <c r="H14" s="4" t="s">
        <v>322</v>
      </c>
      <c r="I14" s="16" t="s">
        <v>69</v>
      </c>
    </row>
    <row r="15" customFormat="false" ht="19.5" hidden="false" customHeight="true" outlineLevel="0" collapsed="false">
      <c r="A15" s="16"/>
      <c r="B15" s="16" t="s">
        <v>198</v>
      </c>
      <c r="C15" s="8" t="s">
        <v>252</v>
      </c>
      <c r="D15" s="16" t="s">
        <v>263</v>
      </c>
      <c r="E15" s="44" t="n">
        <v>4</v>
      </c>
      <c r="F15" s="44" t="n">
        <v>350000</v>
      </c>
      <c r="G15" s="32" t="n">
        <f aca="false">E15*F15</f>
        <v>1400000</v>
      </c>
      <c r="H15" s="4" t="s">
        <v>323</v>
      </c>
      <c r="I15" s="16" t="s">
        <v>69</v>
      </c>
    </row>
    <row r="16" customFormat="false" ht="19.5" hidden="false" customHeight="true" outlineLevel="0" collapsed="false">
      <c r="A16" s="16" t="s">
        <v>70</v>
      </c>
      <c r="B16" s="16" t="s">
        <v>70</v>
      </c>
      <c r="C16" s="8" t="s">
        <v>185</v>
      </c>
      <c r="D16" s="16" t="s">
        <v>39</v>
      </c>
      <c r="E16" s="44" t="n">
        <v>1</v>
      </c>
      <c r="F16" s="44" t="n">
        <v>550000</v>
      </c>
      <c r="G16" s="32" t="n">
        <f aca="false">E16*F16</f>
        <v>550000</v>
      </c>
      <c r="H16" s="8" t="s">
        <v>324</v>
      </c>
      <c r="I16" s="16" t="s">
        <v>70</v>
      </c>
    </row>
    <row r="17" customFormat="false" ht="19.5" hidden="false" customHeight="true" outlineLevel="0" collapsed="false">
      <c r="A17" s="45" t="s">
        <v>279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19"/>
      <c r="I17" s="19"/>
    </row>
    <row r="18" customFormat="false" ht="19.5" hidden="false" customHeight="true" outlineLevel="0" collapsed="false">
      <c r="A18" s="45" t="s">
        <v>280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19"/>
      <c r="I18" s="19"/>
    </row>
    <row r="19" customFormat="false" ht="19.5" hidden="false" customHeight="true" outlineLevel="0" collapsed="false">
      <c r="A19" s="45" t="s">
        <v>281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19"/>
      <c r="I19" s="19"/>
    </row>
    <row r="20" customFormat="false" ht="19.5" hidden="false" customHeight="true" outlineLevel="0" collapsed="false">
      <c r="A20" s="45" t="s">
        <v>71</v>
      </c>
      <c r="B20" s="45"/>
      <c r="C20" s="45"/>
      <c r="D20" s="45"/>
      <c r="E20" s="45"/>
      <c r="F20" s="45"/>
      <c r="G20" s="46" t="n">
        <f aca="false">G18*요율근거!$C$5</f>
        <v>133500</v>
      </c>
      <c r="H20" s="42" t="s">
        <v>282</v>
      </c>
      <c r="I20" s="42"/>
    </row>
    <row r="21" customFormat="false" ht="19.5" hidden="false" customHeight="true" outlineLevel="0" collapsed="false">
      <c r="A21" s="45" t="s">
        <v>72</v>
      </c>
      <c r="B21" s="45"/>
      <c r="C21" s="45"/>
      <c r="D21" s="45"/>
      <c r="E21" s="45"/>
      <c r="F21" s="45"/>
      <c r="G21" s="46" t="n">
        <f aca="false">G18*요율근거!$C$6</f>
        <v>43125</v>
      </c>
      <c r="H21" s="42" t="s">
        <v>283</v>
      </c>
      <c r="I21" s="42"/>
    </row>
    <row r="22" customFormat="false" ht="19.5" hidden="false" customHeight="true" outlineLevel="0" collapsed="false">
      <c r="A22" s="45" t="s">
        <v>73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19" t="s">
        <v>284</v>
      </c>
      <c r="I22" s="19"/>
    </row>
    <row r="23" customFormat="false" ht="19.5" hidden="false" customHeight="true" outlineLevel="0" collapsed="false">
      <c r="A23" s="3" t="s">
        <v>74</v>
      </c>
      <c r="B23" s="3"/>
      <c r="C23" s="3"/>
      <c r="D23" s="3"/>
      <c r="E23" s="3"/>
      <c r="F23" s="3"/>
      <c r="G23" s="18" t="n">
        <f aca="false">SUM(G17:G22)</f>
        <v>5418130</v>
      </c>
      <c r="H23" s="19"/>
      <c r="I23" s="19"/>
    </row>
    <row r="24" customFormat="false" ht="19.5" hidden="false" customHeight="true" outlineLevel="0" collapsed="false">
      <c r="A24" s="45" t="s">
        <v>75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42" t="s">
        <v>285</v>
      </c>
      <c r="I24" s="42"/>
    </row>
    <row r="25" customFormat="false" ht="19.5" hidden="false" customHeight="true" outlineLevel="0" collapsed="false">
      <c r="A25" s="45" t="s">
        <v>76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19" t="s">
        <v>286</v>
      </c>
      <c r="I25" s="19"/>
    </row>
    <row r="26" customFormat="false" ht="19.5" hidden="false" customHeight="true" outlineLevel="0" collapsed="false">
      <c r="A26" s="45" t="s">
        <v>77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42" t="s">
        <v>287</v>
      </c>
      <c r="I26" s="42"/>
    </row>
    <row r="27" customFormat="false" ht="19.5" hidden="false" customHeight="true" outlineLevel="0" collapsed="false">
      <c r="A27" s="47" t="s">
        <v>150</v>
      </c>
      <c r="B27" s="47"/>
      <c r="C27" s="47"/>
      <c r="D27" s="47"/>
      <c r="E27" s="47"/>
      <c r="F27" s="47"/>
      <c r="G27" s="48" t="n">
        <f aca="false">G23+G24+G25+G26</f>
        <v>6422000</v>
      </c>
      <c r="H27" s="10" t="s">
        <v>288</v>
      </c>
      <c r="I27" s="10"/>
    </row>
    <row r="29" customFormat="false" ht="13.4" hidden="false" customHeight="false" outlineLevel="0" collapsed="false">
      <c r="A29" s="49" t="s">
        <v>289</v>
      </c>
      <c r="B29" s="49"/>
      <c r="C29" s="49"/>
      <c r="D29" s="49"/>
      <c r="E29" s="49"/>
      <c r="F29" s="49"/>
      <c r="G29" s="49"/>
      <c r="H29" s="49"/>
      <c r="I29" s="49"/>
    </row>
    <row r="30" customFormat="false" ht="13.4" hidden="false" customHeight="false" outlineLevel="0" collapsed="false">
      <c r="A30" s="49" t="s">
        <v>290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325</v>
      </c>
    </row>
    <row r="3" customFormat="false" ht="15" hidden="false" customHeight="false" outlineLevel="0" collapsed="false">
      <c r="A3" s="14" t="s">
        <v>326</v>
      </c>
      <c r="B3" s="14" t="s">
        <v>327</v>
      </c>
      <c r="C3" s="14" t="s">
        <v>328</v>
      </c>
      <c r="D3" s="14" t="s">
        <v>329</v>
      </c>
      <c r="E3" s="14" t="s">
        <v>330</v>
      </c>
    </row>
    <row r="4" customFormat="false" ht="15" hidden="false" customHeight="false" outlineLevel="0" collapsed="false">
      <c r="A4" s="51" t="n">
        <v>10</v>
      </c>
      <c r="B4" s="51" t="n">
        <v>4</v>
      </c>
      <c r="C4" s="52" t="n">
        <f aca="false">A4*B4</f>
        <v>40</v>
      </c>
      <c r="D4" s="51" t="n">
        <v>72.4</v>
      </c>
      <c r="E4" s="53" t="n">
        <f aca="false">C4*D4</f>
        <v>2896</v>
      </c>
    </row>
    <row r="5" customFormat="false" ht="15" hidden="false" customHeight="false" outlineLevel="0" collapsed="false">
      <c r="A5" s="51" t="n">
        <v>5</v>
      </c>
      <c r="B5" s="51" t="n">
        <v>16</v>
      </c>
      <c r="C5" s="52" t="n">
        <f aca="false">A5*B5</f>
        <v>80</v>
      </c>
      <c r="D5" s="51" t="n">
        <v>72.4</v>
      </c>
      <c r="E5" s="53" t="n">
        <f aca="false">C5*D5</f>
        <v>5792</v>
      </c>
    </row>
    <row r="6" customFormat="false" ht="15" hidden="false" customHeight="false" outlineLevel="0" collapsed="false">
      <c r="A6" s="51" t="n">
        <v>0.6</v>
      </c>
      <c r="B6" s="51" t="n">
        <v>30</v>
      </c>
      <c r="C6" s="52" t="n">
        <f aca="false">A6*B6</f>
        <v>18</v>
      </c>
      <c r="D6" s="51" t="n">
        <v>72.4</v>
      </c>
      <c r="E6" s="53" t="n">
        <f aca="false">C6*D6</f>
        <v>1303.2</v>
      </c>
    </row>
    <row r="7" customFormat="false" ht="15" hidden="false" customHeight="false" outlineLevel="0" collapsed="false">
      <c r="A7" s="54"/>
      <c r="B7" s="55" t="s">
        <v>66</v>
      </c>
      <c r="C7" s="54" t="n">
        <f aca="false">SUM(C4:C6)</f>
        <v>138</v>
      </c>
      <c r="D7" s="54"/>
      <c r="E7" s="56" t="n">
        <f aca="false">SUM(E4:E6)</f>
        <v>9991.2</v>
      </c>
    </row>
    <row r="9" customFormat="false" ht="15" hidden="false" customHeight="false" outlineLevel="0" collapsed="false">
      <c r="A9" s="14" t="s">
        <v>82</v>
      </c>
      <c r="B9" s="14" t="s">
        <v>100</v>
      </c>
      <c r="C9" s="13" t="s">
        <v>331</v>
      </c>
      <c r="D9" s="14" t="s">
        <v>35</v>
      </c>
    </row>
    <row r="10" customFormat="false" ht="15" hidden="false" customHeight="false" outlineLevel="0" collapsed="false">
      <c r="A10" s="57" t="s">
        <v>332</v>
      </c>
      <c r="B10" s="58" t="n">
        <v>13575440</v>
      </c>
      <c r="C10" s="53" t="n">
        <f aca="false">B10/$E$7</f>
        <v>1358.73969092802</v>
      </c>
      <c r="D10" s="57" t="s">
        <v>333</v>
      </c>
    </row>
    <row r="11" customFormat="false" ht="15" hidden="false" customHeight="false" outlineLevel="0" collapsed="false">
      <c r="A11" s="57" t="s">
        <v>334</v>
      </c>
      <c r="B11" s="58" t="n">
        <v>9577783</v>
      </c>
      <c r="C11" s="53" t="n">
        <f aca="false">B11/$E$7</f>
        <v>958.621887260789</v>
      </c>
      <c r="D11" s="57" t="s">
        <v>333</v>
      </c>
    </row>
    <row r="12" customFormat="false" ht="15" hidden="false" customHeight="false" outlineLevel="0" collapsed="false">
      <c r="A12" s="57" t="s">
        <v>335</v>
      </c>
      <c r="B12" s="58" t="n">
        <v>4000000</v>
      </c>
      <c r="C12" s="53" t="n">
        <f aca="false">B12/$E$7</f>
        <v>400.352310032829</v>
      </c>
      <c r="D12" s="57" t="s">
        <v>336</v>
      </c>
    </row>
    <row r="13" customFormat="false" ht="15" hidden="false" customHeight="false" outlineLevel="0" collapsed="false">
      <c r="A13" s="57" t="s">
        <v>337</v>
      </c>
      <c r="B13" s="59" t="n">
        <f aca="false">E7*700</f>
        <v>6993840</v>
      </c>
      <c r="C13" s="53" t="n">
        <f aca="false">B13/$E$7</f>
        <v>700</v>
      </c>
      <c r="D13" s="52" t="s">
        <v>338</v>
      </c>
    </row>
    <row r="14" customFormat="false" ht="15" hidden="false" customHeight="false" outlineLevel="0" collapsed="false">
      <c r="A14" s="57" t="s">
        <v>339</v>
      </c>
      <c r="B14" s="59" t="n">
        <f aca="false">B13-(B11-B12)</f>
        <v>1416057</v>
      </c>
      <c r="C14" s="53" t="n">
        <f aca="false">B14/$E$7</f>
        <v>141.730422772039</v>
      </c>
      <c r="D14" s="57" t="s">
        <v>340</v>
      </c>
    </row>
    <row r="16" customFormat="false" ht="15" hidden="false" customHeight="false" outlineLevel="0" collapsed="false">
      <c r="A16" s="38" t="s">
        <v>341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7" t="s">
        <v>342</v>
      </c>
    </row>
    <row r="3" customFormat="false" ht="30" hidden="false" customHeight="true" outlineLevel="0" collapsed="false">
      <c r="A3" s="3" t="s">
        <v>343</v>
      </c>
      <c r="B3" s="3" t="s">
        <v>344</v>
      </c>
      <c r="C3" s="60" t="s">
        <v>345</v>
      </c>
      <c r="D3" s="60" t="s">
        <v>346</v>
      </c>
      <c r="E3" s="60" t="s">
        <v>347</v>
      </c>
      <c r="F3" s="60" t="s">
        <v>348</v>
      </c>
      <c r="G3" s="60" t="s">
        <v>349</v>
      </c>
      <c r="H3" s="60" t="s">
        <v>350</v>
      </c>
      <c r="I3" s="60" t="s">
        <v>351</v>
      </c>
      <c r="J3" s="60" t="s">
        <v>352</v>
      </c>
      <c r="K3" s="60" t="s">
        <v>353</v>
      </c>
      <c r="L3" s="60" t="s">
        <v>354</v>
      </c>
      <c r="M3" s="60" t="s">
        <v>355</v>
      </c>
    </row>
    <row r="4" customFormat="false" ht="15" hidden="false" customHeight="false" outlineLevel="0" collapsed="false">
      <c r="A4" s="61" t="s">
        <v>356</v>
      </c>
      <c r="B4" s="61" t="s">
        <v>357</v>
      </c>
      <c r="C4" s="62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customFormat="false" ht="15" hidden="false" customHeight="false" outlineLevel="0" collapsed="false">
      <c r="A5" s="61" t="s">
        <v>358</v>
      </c>
      <c r="B5" s="61" t="s">
        <v>359</v>
      </c>
      <c r="C5" s="62"/>
      <c r="D5" s="62"/>
      <c r="E5" s="62"/>
      <c r="F5" s="57"/>
      <c r="G5" s="57"/>
      <c r="H5" s="57"/>
      <c r="I5" s="57"/>
      <c r="J5" s="57"/>
      <c r="K5" s="57"/>
      <c r="L5" s="57"/>
      <c r="M5" s="57"/>
    </row>
    <row r="6" customFormat="false" ht="15" hidden="false" customHeight="false" outlineLevel="0" collapsed="false">
      <c r="A6" s="61" t="s">
        <v>360</v>
      </c>
      <c r="B6" s="61" t="s">
        <v>361</v>
      </c>
      <c r="C6" s="57"/>
      <c r="D6" s="57"/>
      <c r="E6" s="57"/>
      <c r="F6" s="62"/>
      <c r="G6" s="57"/>
      <c r="H6" s="57"/>
      <c r="I6" s="57"/>
      <c r="J6" s="57"/>
      <c r="K6" s="57"/>
      <c r="L6" s="57"/>
      <c r="M6" s="57"/>
    </row>
    <row r="7" customFormat="false" ht="15" hidden="false" customHeight="false" outlineLevel="0" collapsed="false">
      <c r="A7" s="61" t="s">
        <v>362</v>
      </c>
      <c r="B7" s="61" t="s">
        <v>363</v>
      </c>
      <c r="C7" s="57"/>
      <c r="D7" s="57"/>
      <c r="E7" s="57"/>
      <c r="F7" s="57"/>
      <c r="G7" s="62"/>
      <c r="H7" s="62"/>
      <c r="I7" s="57"/>
      <c r="J7" s="57"/>
      <c r="K7" s="57"/>
      <c r="L7" s="57"/>
      <c r="M7" s="57"/>
    </row>
    <row r="8" customFormat="false" ht="15" hidden="false" customHeight="false" outlineLevel="0" collapsed="false">
      <c r="A8" s="61" t="s">
        <v>364</v>
      </c>
      <c r="B8" s="61" t="s">
        <v>365</v>
      </c>
      <c r="C8" s="57"/>
      <c r="D8" s="57"/>
      <c r="E8" s="57"/>
      <c r="F8" s="57"/>
      <c r="G8" s="57"/>
      <c r="H8" s="57"/>
      <c r="I8" s="62"/>
      <c r="J8" s="62"/>
      <c r="K8" s="57"/>
      <c r="L8" s="57"/>
      <c r="M8" s="57"/>
    </row>
    <row r="9" customFormat="false" ht="15" hidden="false" customHeight="false" outlineLevel="0" collapsed="false">
      <c r="A9" s="61" t="s">
        <v>366</v>
      </c>
      <c r="B9" s="61" t="s">
        <v>367</v>
      </c>
      <c r="C9" s="57"/>
      <c r="D9" s="57"/>
      <c r="E9" s="57"/>
      <c r="F9" s="57"/>
      <c r="G9" s="57"/>
      <c r="H9" s="57"/>
      <c r="I9" s="57"/>
      <c r="J9" s="57"/>
      <c r="K9" s="62"/>
      <c r="L9" s="62"/>
      <c r="M9" s="62"/>
    </row>
    <row r="10" customFormat="false" ht="15" hidden="false" customHeight="false" outlineLevel="0" collapsed="false">
      <c r="A10" s="61" t="s">
        <v>368</v>
      </c>
      <c r="B10" s="61" t="s">
        <v>357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62"/>
    </row>
    <row r="12" customFormat="false" ht="15" hidden="false" customHeight="false" outlineLevel="0" collapsed="false">
      <c r="A12" s="38" t="s">
        <v>369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7" t="s">
        <v>370</v>
      </c>
    </row>
    <row r="2" customFormat="false" ht="15" hidden="false" customHeight="false" outlineLevel="0" collapsed="false">
      <c r="A2" s="38" t="s">
        <v>371</v>
      </c>
    </row>
    <row r="4" customFormat="false" ht="15" hidden="false" customHeight="false" outlineLevel="0" collapsed="false">
      <c r="A4" s="14" t="s">
        <v>372</v>
      </c>
      <c r="B4" s="14" t="s">
        <v>373</v>
      </c>
      <c r="C4" s="14" t="s">
        <v>374</v>
      </c>
      <c r="D4" s="14" t="s">
        <v>375</v>
      </c>
    </row>
    <row r="5" customFormat="false" ht="30" hidden="false" customHeight="true" outlineLevel="0" collapsed="false">
      <c r="A5" s="8" t="s">
        <v>71</v>
      </c>
      <c r="B5" s="8" t="s">
        <v>376</v>
      </c>
      <c r="C5" s="63" t="n">
        <v>0.0356</v>
      </c>
      <c r="D5" s="8" t="s">
        <v>377</v>
      </c>
    </row>
    <row r="6" customFormat="false" ht="30" hidden="false" customHeight="true" outlineLevel="0" collapsed="false">
      <c r="A6" s="8" t="s">
        <v>72</v>
      </c>
      <c r="B6" s="8" t="s">
        <v>376</v>
      </c>
      <c r="C6" s="63" t="n">
        <v>0.0115</v>
      </c>
      <c r="D6" s="8" t="s">
        <v>378</v>
      </c>
    </row>
    <row r="7" customFormat="false" ht="30" hidden="false" customHeight="true" outlineLevel="0" collapsed="false">
      <c r="A7" s="8" t="s">
        <v>73</v>
      </c>
      <c r="B7" s="4" t="s">
        <v>379</v>
      </c>
      <c r="C7" s="63" t="n">
        <v>0.0311</v>
      </c>
      <c r="D7" s="8" t="s">
        <v>380</v>
      </c>
    </row>
    <row r="8" customFormat="false" ht="30" hidden="false" customHeight="true" outlineLevel="0" collapsed="false">
      <c r="A8" s="8" t="s">
        <v>75</v>
      </c>
      <c r="B8" s="8" t="s">
        <v>381</v>
      </c>
      <c r="C8" s="63" t="n">
        <v>0.05</v>
      </c>
      <c r="D8" s="8" t="s">
        <v>382</v>
      </c>
    </row>
    <row r="9" customFormat="false" ht="30" hidden="false" customHeight="true" outlineLevel="0" collapsed="false">
      <c r="A9" s="8" t="s">
        <v>383</v>
      </c>
      <c r="B9" s="4" t="s">
        <v>384</v>
      </c>
      <c r="C9" s="64" t="n">
        <v>0.15</v>
      </c>
      <c r="D9" s="8" t="s">
        <v>385</v>
      </c>
    </row>
    <row r="10" customFormat="false" ht="30" hidden="false" customHeight="true" outlineLevel="0" collapsed="false">
      <c r="A10" s="8" t="s">
        <v>386</v>
      </c>
      <c r="B10" s="4" t="s">
        <v>384</v>
      </c>
      <c r="C10" s="64" t="n">
        <v>0.15</v>
      </c>
      <c r="D10" s="8" t="s">
        <v>385</v>
      </c>
    </row>
    <row r="11" customFormat="false" ht="30" hidden="false" customHeight="true" outlineLevel="0" collapsed="false">
      <c r="A11" s="8" t="s">
        <v>387</v>
      </c>
      <c r="B11" s="4" t="s">
        <v>384</v>
      </c>
      <c r="C11" s="64" t="n">
        <v>0.15</v>
      </c>
      <c r="D11" s="8" t="s">
        <v>385</v>
      </c>
    </row>
    <row r="12" customFormat="false" ht="30" hidden="false" customHeight="true" outlineLevel="0" collapsed="false">
      <c r="A12" s="8" t="s">
        <v>388</v>
      </c>
      <c r="B12" s="4" t="s">
        <v>384</v>
      </c>
      <c r="C12" s="64" t="n">
        <v>0.15</v>
      </c>
      <c r="D12" s="8" t="s">
        <v>385</v>
      </c>
    </row>
    <row r="13" customFormat="false" ht="30" hidden="false" customHeight="true" outlineLevel="0" collapsed="false">
      <c r="A13" s="8" t="s">
        <v>389</v>
      </c>
      <c r="B13" s="4" t="s">
        <v>384</v>
      </c>
      <c r="C13" s="64" t="n">
        <v>0.15</v>
      </c>
      <c r="D13" s="8" t="s">
        <v>385</v>
      </c>
    </row>
    <row r="14" customFormat="false" ht="30" hidden="false" customHeight="true" outlineLevel="0" collapsed="false">
      <c r="A14" s="8" t="s">
        <v>390</v>
      </c>
      <c r="B14" s="4" t="s">
        <v>384</v>
      </c>
      <c r="C14" s="64" t="n">
        <v>0.15</v>
      </c>
      <c r="D14" s="8" t="s">
        <v>385</v>
      </c>
    </row>
    <row r="15" customFormat="false" ht="30" hidden="false" customHeight="true" outlineLevel="0" collapsed="false">
      <c r="A15" s="8" t="s">
        <v>391</v>
      </c>
      <c r="B15" s="8" t="s">
        <v>392</v>
      </c>
      <c r="C15" s="15" t="s">
        <v>393</v>
      </c>
      <c r="D15" s="4" t="s">
        <v>394</v>
      </c>
    </row>
    <row r="17" customFormat="false" ht="15" hidden="false" customHeight="false" outlineLevel="0" collapsed="false">
      <c r="A17" s="65" t="s">
        <v>395</v>
      </c>
    </row>
    <row r="18" customFormat="false" ht="15" hidden="false" customHeight="false" outlineLevel="0" collapsed="false">
      <c r="A18" s="14" t="s">
        <v>396</v>
      </c>
      <c r="B18" s="14" t="s">
        <v>397</v>
      </c>
      <c r="C18" s="14" t="s">
        <v>398</v>
      </c>
      <c r="D18" s="14" t="s">
        <v>399</v>
      </c>
      <c r="E18" s="14" t="s">
        <v>400</v>
      </c>
    </row>
    <row r="19" customFormat="false" ht="15" hidden="false" customHeight="false" outlineLevel="0" collapsed="false">
      <c r="A19" s="8" t="s">
        <v>152</v>
      </c>
      <c r="B19" s="8" t="s">
        <v>401</v>
      </c>
      <c r="C19" s="44" t="n">
        <v>292640</v>
      </c>
      <c r="D19" s="44" t="n">
        <v>500000</v>
      </c>
      <c r="E19" s="66" t="n">
        <f aca="false">D19/C19</f>
        <v>1.70858392564243</v>
      </c>
    </row>
    <row r="20" customFormat="false" ht="15" hidden="false" customHeight="false" outlineLevel="0" collapsed="false">
      <c r="A20" s="8" t="s">
        <v>402</v>
      </c>
      <c r="B20" s="8" t="s">
        <v>403</v>
      </c>
      <c r="C20" s="44" t="n">
        <v>266029</v>
      </c>
      <c r="D20" s="44" t="n">
        <v>350000</v>
      </c>
      <c r="E20" s="66" t="n">
        <f aca="false">D20/C20</f>
        <v>1.31564603858978</v>
      </c>
    </row>
    <row r="21" customFormat="false" ht="15" hidden="false" customHeight="false" outlineLevel="0" collapsed="false">
      <c r="A21" s="8" t="s">
        <v>161</v>
      </c>
      <c r="B21" s="8" t="s">
        <v>404</v>
      </c>
      <c r="C21" s="44" t="n">
        <v>226122</v>
      </c>
      <c r="D21" s="44" t="n">
        <v>300000</v>
      </c>
      <c r="E21" s="66" t="n">
        <f aca="false">D21/C21</f>
        <v>1.32671743572054</v>
      </c>
    </row>
    <row r="22" customFormat="false" ht="15" hidden="false" customHeight="false" outlineLevel="0" collapsed="false">
      <c r="A22" s="8" t="s">
        <v>165</v>
      </c>
      <c r="B22" s="8" t="s">
        <v>405</v>
      </c>
      <c r="C22" s="44" t="n">
        <v>172068</v>
      </c>
      <c r="D22" s="44" t="n">
        <v>200000</v>
      </c>
      <c r="E22" s="66" t="n">
        <f aca="false">D22/C22</f>
        <v>1.16233117139735</v>
      </c>
    </row>
    <row r="23" customFormat="false" ht="15" hidden="false" customHeight="false" outlineLevel="0" collapsed="false">
      <c r="A23" s="8" t="s">
        <v>168</v>
      </c>
      <c r="B23" s="8" t="s">
        <v>404</v>
      </c>
      <c r="C23" s="44" t="n">
        <v>226122</v>
      </c>
      <c r="D23" s="44" t="n">
        <v>250000</v>
      </c>
      <c r="E23" s="66" t="n">
        <f aca="false">D23/C23</f>
        <v>1.10559786310045</v>
      </c>
    </row>
    <row r="24" customFormat="false" ht="15" hidden="false" customHeight="false" outlineLevel="0" collapsed="false">
      <c r="A24" s="8" t="s">
        <v>108</v>
      </c>
      <c r="B24" s="8" t="s">
        <v>404</v>
      </c>
      <c r="C24" s="44" t="n">
        <v>226122</v>
      </c>
      <c r="D24" s="44" t="n">
        <v>260000</v>
      </c>
      <c r="E24" s="66" t="n">
        <f aca="false">D24/C24</f>
        <v>1.14982177762447</v>
      </c>
    </row>
    <row r="25" customFormat="false" ht="15" hidden="false" customHeight="false" outlineLevel="0" collapsed="false">
      <c r="A25" s="8" t="s">
        <v>103</v>
      </c>
      <c r="B25" s="8" t="s">
        <v>406</v>
      </c>
      <c r="C25" s="44" t="n">
        <v>281939</v>
      </c>
      <c r="D25" s="44" t="n">
        <v>300000</v>
      </c>
      <c r="E25" s="66" t="n">
        <f aca="false">D25/C25</f>
        <v>1.06405995623167</v>
      </c>
    </row>
    <row r="26" customFormat="false" ht="30" hidden="false" customHeight="true" outlineLevel="0" collapsed="false">
      <c r="A26" s="33" t="s">
        <v>407</v>
      </c>
      <c r="B26" s="33"/>
      <c r="C26" s="33"/>
      <c r="D26" s="33"/>
      <c r="E26" s="33"/>
    </row>
    <row r="28" customFormat="false" ht="15" hidden="false" customHeight="false" outlineLevel="0" collapsed="false">
      <c r="A28" s="65" t="s">
        <v>408</v>
      </c>
    </row>
    <row r="29" customFormat="false" ht="15" hidden="false" customHeight="false" outlineLevel="0" collapsed="false">
      <c r="A29" s="67" t="s">
        <v>409</v>
      </c>
      <c r="B29" s="68" t="s">
        <v>410</v>
      </c>
      <c r="C29" s="68"/>
      <c r="D29" s="68"/>
      <c r="E29" s="68"/>
    </row>
    <row r="30" customFormat="false" ht="15" hidden="false" customHeight="false" outlineLevel="0" collapsed="false">
      <c r="A30" s="67" t="s">
        <v>411</v>
      </c>
      <c r="B30" s="68" t="s">
        <v>412</v>
      </c>
      <c r="C30" s="68"/>
      <c r="D30" s="68"/>
      <c r="E30" s="68"/>
    </row>
    <row r="31" customFormat="false" ht="14.15" hidden="false" customHeight="false" outlineLevel="0" collapsed="false">
      <c r="A31" s="67" t="s">
        <v>413</v>
      </c>
      <c r="B31" s="68" t="s">
        <v>414</v>
      </c>
      <c r="C31" s="68"/>
      <c r="D31" s="68"/>
      <c r="E31" s="68"/>
    </row>
    <row r="32" customFormat="false" ht="15" hidden="false" customHeight="false" outlineLevel="0" collapsed="false">
      <c r="A32" s="67" t="s">
        <v>73</v>
      </c>
      <c r="B32" s="68" t="s">
        <v>415</v>
      </c>
      <c r="C32" s="68"/>
      <c r="D32" s="68"/>
      <c r="E32" s="68"/>
    </row>
    <row r="33" customFormat="false" ht="15" hidden="false" customHeight="false" outlineLevel="0" collapsed="false">
      <c r="A33" s="67" t="s">
        <v>416</v>
      </c>
      <c r="B33" s="68" t="s">
        <v>417</v>
      </c>
      <c r="C33" s="68"/>
      <c r="D33" s="68"/>
      <c r="E33" s="68"/>
    </row>
    <row r="34" customFormat="false" ht="14.15" hidden="false" customHeight="false" outlineLevel="0" collapsed="false">
      <c r="A34" s="69" t="s">
        <v>418</v>
      </c>
      <c r="B34" s="68" t="s">
        <v>419</v>
      </c>
      <c r="C34" s="68"/>
      <c r="D34" s="68"/>
      <c r="E34" s="68"/>
    </row>
    <row r="35" customFormat="false" ht="15" hidden="false" customHeight="false" outlineLevel="0" collapsed="false">
      <c r="A35" s="67" t="s">
        <v>420</v>
      </c>
      <c r="B35" s="70" t="s">
        <v>421</v>
      </c>
      <c r="C35" s="70"/>
      <c r="D35" s="70"/>
      <c r="E35" s="70"/>
    </row>
    <row r="37" customFormat="false" ht="15" hidden="false" customHeight="false" outlineLevel="0" collapsed="false">
      <c r="A37" s="38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2026-10-12T23:57:25Z</dcterms:created>
  <dc:creator>openpyxl</dc:creator>
  <dc:description/>
  <dc:language>en-US</dc:language>
  <cp:lastModifiedBy/>
  <dcterms:modified xsi:type="dcterms:W3CDTF">2026-10-12T23:57:25Z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