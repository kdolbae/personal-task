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  <sheet name="요율근거" sheetId="13" state="visible" r:id="rId15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<sst xmlns="http://schemas.openxmlformats.org/spreadsheetml/2006/main" count="1287" uniqueCount="432">
  <si>
    <t xml:space="preserve">견          적          서</t>
  </si>
  <si>
    <t xml:space="preserve">QUOTATION</t>
  </si>
  <si>
    <t xml:space="preserve">견적번호</t>
  </si>
  <si>
    <t xml:space="preserve">NMS-2610-KKT-01</t>
  </si>
  <si>
    <t xml:space="preserve">공
급
자</t>
  </si>
  <si>
    <t xml:space="preserve">상    호</t>
  </si>
  <si>
    <t xml:space="preserve">엔엠솔루션</t>
  </si>
  <si>
    <t xml:space="preserve">견 적 일</t>
  </si>
  <si>
    <t xml:space="preserve">2026-10-12</t>
  </si>
  <si>
    <t xml:space="preserve">대 표 자</t>
  </si>
  <si>
    <r>
      <rPr>
        <sz val="10"/>
        <color rgb="FF000000"/>
        <rFont val="맑은 고딕"/>
        <family val="0"/>
        <charset val="1"/>
      </rPr>
      <t xml:space="preserve">                    (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</si>
  <si>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    신</t>
  </si>
  <si>
    <r>
      <rPr>
        <sz val="10"/>
        <color rgb="FF000000"/>
        <rFont val="WenQuanYi Zen Hei"/>
        <family val="2"/>
      </rPr>
      <t xml:space="preserve">금강변압기 유한회사 </t>
    </r>
    <r>
      <rPr>
        <sz val="10"/>
        <color rgb="FF000000"/>
        <rFont val="맑은 고딕"/>
        <family val="0"/>
        <charset val="1"/>
      </rPr>
      <t xml:space="preserve">(KUMKANG TRANSFORMER) </t>
    </r>
    <r>
      <rPr>
        <sz val="10"/>
        <color rgb="FF000000"/>
        <rFont val="WenQuanYi Zen Hei"/>
        <family val="2"/>
      </rPr>
      <t xml:space="preserve">귀중</t>
    </r>
  </si>
  <si>
    <t xml:space="preserve">사업자번호</t>
  </si>
  <si>
    <t xml:space="preserve">참    조</t>
  </si>
  <si>
    <t xml:space="preserve">주    소</t>
  </si>
  <si>
    <t xml:space="preserve">공 사 명</t>
  </si>
  <si>
    <r>
      <rPr>
        <sz val="10"/>
        <color rgb="FF000000"/>
        <rFont val="WenQuanYi Zen Hei"/>
        <family val="2"/>
      </rPr>
      <t xml:space="preserve">진공건조로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분할체 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임시 베이스 제작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접합부 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공사</t>
    </r>
  </si>
  <si>
    <t xml:space="preserve">연 락 처</t>
  </si>
  <si>
    <t xml:space="preserve">공사 장소</t>
  </si>
  <si>
    <r>
      <rPr>
        <sz val="10"/>
        <color rgb="FF000000"/>
        <rFont val="WenQuanYi Zen Hei"/>
        <family val="2"/>
      </rPr>
      <t xml:space="preserve">경기 화성시 마도면 마도공단로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길 </t>
    </r>
    <r>
      <rPr>
        <sz val="10"/>
        <color rgb="FF000000"/>
        <rFont val="맑은 고딕"/>
        <family val="0"/>
        <charset val="1"/>
      </rPr>
      <t xml:space="preserve">214 </t>
    </r>
    <r>
      <rPr>
        <sz val="10"/>
        <color rgb="FF000000"/>
        <rFont val="WenQuanYi Zen Hei"/>
        <family val="2"/>
      </rPr>
      <t xml:space="preserve">사내 마당</t>
    </r>
  </si>
  <si>
    <r>
      <rPr>
        <sz val="9"/>
        <color rgb="FFAAAAAA"/>
        <rFont val="맑은 고딕"/>
        <family val="0"/>
        <charset val="1"/>
      </rPr>
      <t xml:space="preserve">(</t>
    </r>
    <r>
      <rPr>
        <sz val="9"/>
        <color rgb="FFAAAAAA"/>
        <rFont val="WenQuanYi Zen Hei"/>
        <family val="2"/>
      </rPr>
      <t xml:space="preserve">직인</t>
    </r>
    <r>
      <rPr>
        <sz val="9"/>
        <color rgb="FFAAAAAA"/>
        <rFont val="맑은 고딕"/>
        <family val="0"/>
        <charset val="1"/>
      </rPr>
      <t xml:space="preserve">)</t>
    </r>
  </si>
  <si>
    <t xml:space="preserve">공사 기간</t>
  </si>
  <si>
    <r>
      <rPr>
        <sz val="10"/>
        <color rgb="FF000000"/>
        <rFont val="맑은 고딕"/>
        <family val="0"/>
        <charset val="1"/>
      </rPr>
      <t xml:space="preserve">2026.10.21 ~ 2026.11.02 (</t>
    </r>
    <r>
      <rPr>
        <sz val="10"/>
        <color rgb="FF000000"/>
        <rFont val="WenQuanYi Zen Hei"/>
        <family val="2"/>
      </rPr>
      <t xml:space="preserve">가계획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작업일 </t>
    </r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공정표 시트 참조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</si>
  <si>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결제 조건</t>
  </si>
  <si>
    <r>
      <rPr>
        <sz val="10"/>
        <color rgb="FF000000"/>
        <rFont val="WenQuanYi Zen Hei"/>
        <family val="2"/>
      </rPr>
      <t xml:space="preserve">협의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착수 </t>
    </r>
    <r>
      <rPr>
        <sz val="10"/>
        <color rgb="FF000000"/>
        <rFont val="맑은 고딕"/>
        <family val="0"/>
        <charset val="1"/>
      </rPr>
      <t xml:space="preserve">30%, </t>
    </r>
    <r>
      <rPr>
        <sz val="10"/>
        <color rgb="FF000000"/>
        <rFont val="WenQuanYi Zen Hei"/>
        <family val="2"/>
      </rPr>
      <t xml:space="preserve">준공 후 </t>
    </r>
    <r>
      <rPr>
        <sz val="10"/>
        <color rgb="FF000000"/>
        <rFont val="맑은 고딕"/>
        <family val="0"/>
        <charset val="1"/>
      </rPr>
      <t xml:space="preserve">70%)</t>
    </r>
  </si>
  <si>
    <t xml:space="preserve">유효 기간</t>
  </si>
  <si>
    <r>
      <rPr>
        <sz val="10"/>
        <color rgb="FF000000"/>
        <rFont val="WenQuanYi Zen Hei"/>
        <family val="2"/>
      </rPr>
      <t xml:space="preserve">견적일로부터 </t>
    </r>
    <r>
      <rPr>
        <sz val="10"/>
        <color rgb="FF000000"/>
        <rFont val="맑은 고딕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</si>
  <si>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아래와 같이 견적함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</si>
  <si>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합계 금액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부가세 포함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</si>
  <si>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No</t>
  </si>
  <si>
    <t xml:space="preserve">공  종</t>
  </si>
  <si>
    <t xml:space="preserve">작업 내용</t>
  </si>
  <si>
    <t xml:space="preserve">단위</t>
  </si>
  <si>
    <t xml:space="preserve">공급가액</t>
  </si>
  <si>
    <t xml:space="preserve">비고</t>
  </si>
  <si>
    <t xml:space="preserve">1</t>
  </si>
  <si>
    <t xml:space="preserve">도비 작업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</si>
  <si>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</t>
    </r>
    <r>
      <rPr>
        <sz val="10"/>
        <color rgb="FF000000"/>
        <rFont val="맑은 고딕"/>
        <family val="0"/>
        <charset val="1"/>
      </rPr>
      <t xml:space="preserve">(100t·60t), </t>
    </r>
    <r>
      <rPr>
        <sz val="10"/>
        <color rgb="FF000000"/>
        <rFont val="WenQuanYi Zen Hei"/>
        <family val="2"/>
      </rPr>
      <t xml:space="preserve">밀착 이동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안전펜스</t>
    </r>
  </si>
  <si>
    <t xml:space="preserve">식</t>
  </si>
  <si>
    <t xml:space="preserve">도비 시트 참조</t>
  </si>
  <si>
    <t xml:space="preserve">2</t>
  </si>
  <si>
    <t xml:space="preserve">용접 작업</t>
  </si>
  <si>
    <r>
      <rPr>
        <sz val="10"/>
        <color rgb="FF000000"/>
        <rFont val="WenQuanYi Zen Hei"/>
        <family val="2"/>
      </rPr>
      <t xml:space="preserve">접합면 사상</t>
    </r>
    <r>
      <rPr>
        <sz val="10"/>
        <color rgb="FF000000"/>
        <rFont val="맑은 고딕"/>
        <family val="0"/>
        <charset val="1"/>
      </rPr>
      <t xml:space="preserve">, CO2 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화재감시</t>
    </r>
  </si>
  <si>
    <t xml:space="preserve">용접 시트 참조</t>
  </si>
  <si>
    <t xml:space="preserve">3</t>
  </si>
  <si>
    <t xml:space="preserve">베이스 작업</t>
  </si>
  <si>
    <r>
      <rPr>
        <sz val="10"/>
        <color rgb="FF000000"/>
        <rFont val="WenQuanYi Zen Hei"/>
        <family val="2"/>
      </rPr>
      <t xml:space="preserve">임시 사다리형 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회수</t>
    </r>
  </si>
  <si>
    <t xml:space="preserve">베이스 시트 참조</t>
  </si>
  <si>
    <t xml:space="preserve">공 급 가 액</t>
  </si>
  <si>
    <r>
      <rPr>
        <b val="true"/>
        <sz val="10"/>
        <color rgb="FF000000"/>
        <rFont val="WenQuanYi Zen Hei"/>
        <family val="2"/>
      </rPr>
      <t xml:space="preserve">부 가 세 </t>
    </r>
    <r>
      <rPr>
        <b val="true"/>
        <sz val="10"/>
        <color rgb="FF000000"/>
        <rFont val="맑은 고딕"/>
        <family val="0"/>
        <charset val="1"/>
      </rPr>
      <t xml:space="preserve">(10%)</t>
    </r>
  </si>
  <si>
    <t xml:space="preserve">합      계</t>
  </si>
  <si>
    <t xml:space="preserve">특기사항</t>
  </si>
  <si>
    <r>
      <rPr>
        <sz val="9"/>
        <color rgb="FF000000"/>
        <rFont val="맑은 고딕"/>
        <family val="0"/>
        <charset val="1"/>
      </rPr>
      <t xml:space="preserve">1. </t>
    </r>
    <r>
      <rPr>
        <sz val="9"/>
        <color rgb="FF000000"/>
        <rFont val="WenQuanYi Zen Hei"/>
        <family val="2"/>
      </rPr>
      <t xml:space="preserve">전기 수전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배관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닥트 해체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보온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도장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시운전은 포함하지 않음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</si>
  <si>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2. </t>
    </r>
    <r>
      <rPr>
        <sz val="9"/>
        <color rgb="FF000000"/>
        <rFont val="WenQuanYi Zen Hei"/>
        <family val="2"/>
      </rPr>
      <t xml:space="preserve">크레인 사양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배치는 인양계획서와 지반 검토 후 확정하며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크레인 변경에 따른 추가비용은 없음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</si>
  <si>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3. </t>
    </r>
    <r>
      <rPr>
        <sz val="9"/>
        <color rgb="FF000000"/>
        <rFont val="WenQuanYi Zen Hei"/>
        <family val="2"/>
      </rPr>
      <t xml:space="preserve">비파괴검사</t>
    </r>
    <r>
      <rPr>
        <sz val="9"/>
        <color rgb="FF000000"/>
        <rFont val="맑은 고딕"/>
        <family val="0"/>
        <charset val="1"/>
      </rPr>
      <t xml:space="preserve">(PT/UT)</t>
    </r>
    <r>
      <rPr>
        <sz val="9"/>
        <color rgb="FF000000"/>
        <rFont val="WenQuanYi Zen Hei"/>
        <family val="2"/>
      </rPr>
      <t xml:space="preserve">는 포함하지 않으며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요구 시 별도 정산함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</si>
  <si>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4. </t>
    </r>
    <r>
      <rPr>
        <sz val="9"/>
        <color rgb="FF000000"/>
        <rFont val="WenQuanYi Zen Hei"/>
        <family val="2"/>
      </rPr>
      <t xml:space="preserve">연장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야간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휴일 작업은 공정에 따라 당사가 수행하며 추가 정산하지 않음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기상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우천 시 용접 불가</t>
    </r>
    <r>
      <rPr>
        <sz val="9"/>
        <color rgb="FF000000"/>
        <rFont val="맑은 고딕"/>
        <family val="0"/>
        <charset val="1"/>
      </rPr>
      <t xml:space="preserve">)·</t>
    </r>
    <r>
      <rPr>
        <sz val="9"/>
        <color rgb="FF000000"/>
        <rFont val="WenQuanYi Zen Hei"/>
        <family val="2"/>
      </rPr>
      <t xml:space="preserve">발주처 사유에 따른 대기는 별도 협의함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</si>
  <si>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5. </t>
    </r>
    <r>
      <rPr>
        <sz val="9"/>
        <color rgb="FF000000"/>
        <rFont val="WenQuanYi Zen Hei"/>
        <family val="2"/>
      </rPr>
      <t xml:space="preserve">작업구역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약 </t>
    </r>
    <r>
      <rPr>
        <sz val="9"/>
        <color rgb="FF000000"/>
        <rFont val="맑은 고딕"/>
        <family val="0"/>
        <charset val="1"/>
      </rPr>
      <t xml:space="preserve">10×15m)</t>
    </r>
    <r>
      <rPr>
        <sz val="9"/>
        <color rgb="FF000000"/>
        <rFont val="WenQuanYi Zen Hei"/>
        <family val="2"/>
      </rPr>
      <t xml:space="preserve">은 이동식 안전펜스로 통제하며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안전관리 규정과 출입 절차를 따름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</si>
  <si>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6. </t>
    </r>
    <r>
      <rPr>
        <sz val="9"/>
        <color rgb="FF000000"/>
        <rFont val="WenQuanYi Zen Hei"/>
        <family val="2"/>
      </rPr>
      <t xml:space="preserve">대안</t>
    </r>
    <r>
      <rPr>
        <sz val="9"/>
        <color rgb="FF000000"/>
        <rFont val="맑은 고딕"/>
        <family val="0"/>
        <charset val="1"/>
      </rPr>
      <t xml:space="preserve">(B</t>
    </r>
    <r>
      <rPr>
        <sz val="9"/>
        <color rgb="FF000000"/>
        <rFont val="WenQuanYi Zen Hei"/>
        <family val="2"/>
      </rPr>
      <t xml:space="preserve">안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기존 조방 개조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전체 </t>
    </r>
    <r>
      <rPr>
        <sz val="9"/>
        <color rgb="FF000000"/>
        <rFont val="맑은 고딕"/>
        <family val="0"/>
        <charset val="1"/>
      </rPr>
      <t xml:space="preserve">90° </t>
    </r>
    <r>
      <rPr>
        <sz val="9"/>
        <color rgb="FF000000"/>
        <rFont val="WenQuanYi Zen Hei"/>
        <family val="2"/>
      </rPr>
      <t xml:space="preserve">회전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의 금액은 </t>
    </r>
    <r>
      <rPr>
        <sz val="9"/>
        <color rgb="FF000000"/>
        <rFont val="맑은 고딕"/>
        <family val="0"/>
        <charset val="1"/>
      </rPr>
      <t xml:space="preserve">AB</t>
    </r>
    <r>
      <rPr>
        <sz val="9"/>
        <color rgb="FF000000"/>
        <rFont val="WenQuanYi Zen Hei"/>
        <family val="2"/>
      </rPr>
      <t xml:space="preserve">비교 시트에 정리함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</si>
  <si>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8"/>
        <color rgb="FF999999"/>
        <rFont val="WenQuanYi Zen Hei"/>
        <family val="2"/>
      </rPr>
      <t xml:space="preserve">노란 칸은 공급자 정보</t>
    </r>
    <r>
      <rPr>
        <sz val="8"/>
        <color rgb="FF999999"/>
        <rFont val="맑은 고딕"/>
        <family val="0"/>
        <charset val="1"/>
      </rPr>
      <t xml:space="preserve">·</t>
    </r>
    <r>
      <rPr>
        <sz val="8"/>
        <color rgb="FF999999"/>
        <rFont val="WenQuanYi Zen Hei"/>
        <family val="2"/>
      </rPr>
      <t xml:space="preserve">협의 항목으로 채워야 하는 칸임</t>
    </r>
    <r>
      <rPr>
        <sz val="8"/>
        <color rgb="FF999999"/>
        <rFont val="맑은 고딕"/>
        <family val="0"/>
        <charset val="1"/>
      </rPr>
      <t xml:space="preserve">.</t>
    </r>
  </si>
  <si>
    <t xml:space="preserve">공 사 원 가 계 산 서</t>
  </si>
  <si>
    <r>
      <rPr>
        <sz val="9"/>
        <color rgb="FF555555"/>
        <rFont val="WenQuanYi Zen Hei"/>
        <family val="2"/>
      </rPr>
      <t xml:space="preserve">공사명 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진공건조로 회전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안착 및 접합부 용접 공사   </t>
    </r>
    <r>
      <rPr>
        <sz val="9"/>
        <color rgb="FF555555"/>
        <rFont val="맑은 고딕"/>
        <family val="0"/>
        <charset val="1"/>
      </rPr>
      <t xml:space="preserve">|   NMS-2610-KKT-01</t>
    </r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</si>
  <si>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</si>
  <si>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</si>
  <si>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</si>
  <si>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</si>
  <si>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</si>
  <si>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</si>
  <si>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</si>
  <si>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</si>
  <si>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경비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</si>
  <si>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</si>
  <si>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</si>
  <si>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</si>
  <si>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</si>
  <si>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</si>
  <si>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</si>
  <si>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</si>
  <si>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r>
      <rPr>
        <sz val="10"/>
        <color rgb="FF000000"/>
        <rFont val="WenQuanYi Zen Hei"/>
        <family val="2"/>
      </rPr>
      <t xml:space="preserve">부가가치세 </t>
    </r>
    <r>
      <rPr>
        <sz val="10"/>
        <color rgb="FF000000"/>
        <rFont val="맑은 고딕"/>
        <family val="0"/>
        <charset val="1"/>
      </rPr>
      <t xml:space="preserve">(10%)</t>
    </r>
  </si>
  <si>
    <t xml:space="preserve">총 공사금액</t>
  </si>
  <si>
    <r>
      <rPr>
        <sz val="9"/>
        <color rgb="FF555555"/>
        <rFont val="WenQuanYi Zen Hei"/>
        <family val="2"/>
      </rPr>
      <t xml:space="preserve">요율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산재 </t>
    </r>
    <r>
      <rPr>
        <sz val="9"/>
        <color rgb="FF555555"/>
        <rFont val="맑은 고딕"/>
        <family val="0"/>
        <charset val="1"/>
      </rPr>
      <t xml:space="preserve">3.56%·</t>
    </r>
    <r>
      <rPr>
        <sz val="9"/>
        <color rgb="FF555555"/>
        <rFont val="WenQuanYi Zen Hei"/>
        <family val="2"/>
      </rPr>
      <t xml:space="preserve">고용 </t>
    </r>
    <r>
      <rPr>
        <sz val="9"/>
        <color rgb="FF555555"/>
        <rFont val="맑은 고딕"/>
        <family val="0"/>
        <charset val="1"/>
      </rPr>
      <t xml:space="preserve">1.15% (</t>
    </r>
    <r>
      <rPr>
        <sz val="9"/>
        <color rgb="FF555555"/>
        <rFont val="WenQuanYi Zen Hei"/>
        <family val="2"/>
      </rPr>
      <t xml:space="preserve">노무비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산업안전보건관리비 </t>
    </r>
    <r>
      <rPr>
        <sz val="9"/>
        <color rgb="FF555555"/>
        <rFont val="맑은 고딕"/>
        <family val="0"/>
        <charset val="1"/>
      </rPr>
      <t xml:space="preserve">3.11% ((</t>
    </r>
    <r>
      <rPr>
        <sz val="9"/>
        <color rgb="FF555555"/>
        <rFont val="WenQuanYi Zen Hei"/>
        <family val="2"/>
      </rPr>
      <t xml:space="preserve">재료비 </t>
    </r>
    <r>
      <rPr>
        <sz val="9"/>
        <color rgb="FF555555"/>
        <rFont val="맑은 고딕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노무비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일반관리비 </t>
    </r>
    <r>
      <rPr>
        <sz val="9"/>
        <color rgb="FF555555"/>
        <rFont val="맑은 고딕"/>
        <family val="0"/>
        <charset val="1"/>
      </rPr>
      <t xml:space="preserve">5% (</t>
    </r>
    <r>
      <rPr>
        <sz val="9"/>
        <color rgb="FF555555"/>
        <rFont val="WenQuanYi Zen Hei"/>
        <family val="2"/>
      </rPr>
      <t xml:space="preserve">순공사원가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이윤은 공종별 </t>
    </r>
    <r>
      <rPr>
        <sz val="9"/>
        <color rgb="FF555555"/>
        <rFont val="맑은 고딕"/>
        <family val="0"/>
        <charset val="1"/>
      </rPr>
      <t xml:space="preserve">15% </t>
    </r>
    <r>
      <rPr>
        <sz val="9"/>
        <color rgb="FF555555"/>
        <rFont val="WenQuanYi Zen Hei"/>
        <family val="2"/>
      </rPr>
      <t xml:space="preserve">이내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</si>
  <si>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맑은 고딕"/>
        <family val="0"/>
        <charset val="1"/>
      </rPr>
      <t xml:space="preserve">A</t>
    </r>
    <r>
      <rPr>
        <b val="true"/>
        <sz val="14"/>
        <color rgb="FF000000"/>
        <rFont val="WenQuanYi Zen Hei"/>
        <family val="2"/>
      </rPr>
      <t xml:space="preserve">안 </t>
    </r>
    <r>
      <rPr>
        <b val="true"/>
        <sz val="14"/>
        <color rgb="FF000000"/>
        <rFont val="맑은 고딕"/>
        <family val="0"/>
        <charset val="1"/>
      </rPr>
      <t xml:space="preserve">· B</t>
    </r>
    <r>
      <rPr>
        <b val="true"/>
        <sz val="14"/>
        <color rgb="FF000000"/>
        <rFont val="WenQuanYi Zen Hei"/>
        <family val="2"/>
      </rPr>
      <t xml:space="preserve">안 금액 비교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공급가액</t>
    </r>
    <r>
      <rPr>
        <b val="true"/>
        <sz val="14"/>
        <color rgb="FF000000"/>
        <rFont val="맑은 고딕"/>
        <family val="0"/>
        <charset val="1"/>
      </rPr>
      <t xml:space="preserve">, </t>
    </r>
    <r>
      <rPr>
        <b val="true"/>
        <sz val="14"/>
        <color rgb="FF000000"/>
        <rFont val="WenQuanYi Zen Hei"/>
        <family val="2"/>
      </rPr>
      <t xml:space="preserve">부가세 별도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</si>
  <si>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</si>
  <si>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임시 베이스 </t>
    </r>
    <r>
      <rPr>
        <b val="true"/>
        <sz val="10"/>
        <color rgb="FFFFFFFF"/>
        <rFont val="맑은 고딕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밀착 이동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</si>
  <si>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조방 개조 </t>
    </r>
    <r>
      <rPr>
        <b val="true"/>
        <sz val="10"/>
        <color rgb="FFFFFFFF"/>
        <rFont val="맑은 고딕"/>
        <family val="0"/>
        <charset val="1"/>
      </rPr>
      <t xml:space="preserve">+ 90° </t>
    </r>
    <r>
      <rPr>
        <b val="true"/>
        <sz val="10"/>
        <color rgb="FFFFFFFF"/>
        <rFont val="WenQuanYi Zen Hei"/>
        <family val="2"/>
      </rPr>
      <t xml:space="preserve">회전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</si>
  <si>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차액 </t>
    </r>
    <r>
      <rPr>
        <b val="true"/>
        <sz val="10"/>
        <color rgb="FFFFFFFF"/>
        <rFont val="맑은 고딕"/>
        <family val="0"/>
        <charset val="1"/>
      </rPr>
      <t xml:space="preserve">(B − A)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</si>
  <si>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200t</t>
    </r>
    <r>
      <rPr>
        <sz val="10"/>
        <color rgb="FF000000"/>
        <rFont val="WenQuanYi Zen Hei"/>
        <family val="2"/>
      </rPr>
      <t xml:space="preserve">급 크레인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추가</t>
    </r>
    <r>
      <rPr>
        <sz val="10"/>
        <color rgb="FF000000"/>
        <rFont val="맑은 고딕"/>
        <family val="0"/>
        <charset val="1"/>
      </rPr>
      <t xml:space="preserve">(350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</t>
    </r>
    <r>
      <rPr>
        <sz val="10"/>
        <color rgb="FF000000"/>
        <rFont val="맑은 고딕"/>
        <family val="0"/>
        <charset val="1"/>
      </rPr>
      <t xml:space="preserve">90° </t>
    </r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) + 100t </t>
    </r>
    <r>
      <rPr>
        <sz val="10"/>
        <color rgb="FF000000"/>
        <rFont val="WenQuanYi Zen Hei"/>
        <family val="2"/>
      </rPr>
      <t xml:space="preserve">테일링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추가</t>
    </r>
  </si>
  <si>
    <r>
      <rPr>
        <sz val="10"/>
        <color rgb="FF000000"/>
        <rFont val="WenQuanYi Zen Hei"/>
        <family val="2"/>
      </rPr>
      <t xml:space="preserve">같은 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장비로 상부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용접 후 회전해서 하부 용접</t>
    </r>
  </si>
  <si>
    <r>
      <rPr>
        <sz val="10"/>
        <color rgb="FF000000"/>
        <rFont val="WenQuanYi Zen Hei"/>
        <family val="2"/>
      </rPr>
      <t xml:space="preserve">베이스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</si>
  <si>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신규 베이스 대신 조방 개조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 포함</t>
    </r>
  </si>
  <si>
    <t xml:space="preserve">공급가액 계</t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</si>
  <si>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</t>
    </r>
    <r>
      <rPr>
        <sz val="9"/>
        <color rgb="FF555555"/>
        <rFont val="맑은 고딕"/>
        <family val="0"/>
        <charset val="1"/>
      </rPr>
      <t xml:space="preserve">200t</t>
    </r>
    <r>
      <rPr>
        <sz val="9"/>
        <color rgb="FF555555"/>
        <rFont val="WenQuanYi Zen Hei"/>
        <family val="2"/>
      </rPr>
      <t xml:space="preserve">급 크레인은 사용자 제시 단가 </t>
    </r>
    <r>
      <rPr>
        <sz val="9"/>
        <color rgb="FF555555"/>
        <rFont val="맑은 고딕"/>
        <family val="0"/>
        <charset val="1"/>
      </rPr>
      <t xml:space="preserve">350</t>
    </r>
    <r>
      <rPr>
        <sz val="9"/>
        <color rgb="FF555555"/>
        <rFont val="WenQuanYi Zen Hei"/>
        <family val="2"/>
      </rPr>
      <t xml:space="preserve">만</t>
    </r>
    <r>
      <rPr>
        <sz val="9"/>
        <color rgb="FF555555"/>
        <rFont val="맑은 고딕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일 적용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회송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웨이트 운반은 별도 줄로 넣음</t>
    </r>
    <r>
      <rPr>
        <sz val="9"/>
        <color rgb="FF555555"/>
        <rFont val="맑은 고딕"/>
        <family val="0"/>
        <charset val="1"/>
      </rPr>
      <t xml:space="preserve">. B</t>
    </r>
    <r>
      <rPr>
        <sz val="9"/>
        <color rgb="FF555555"/>
        <rFont val="WenQuanYi Zen Hei"/>
        <family val="2"/>
      </rPr>
      <t xml:space="preserve">안 용접은 </t>
    </r>
    <r>
      <rPr>
        <sz val="9"/>
        <color rgb="FF555555"/>
        <rFont val="맑은 고딕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면 용접 → 전체 </t>
    </r>
    <r>
      <rPr>
        <sz val="9"/>
        <color rgb="FF555555"/>
        <rFont val="맑은 고딕"/>
        <family val="0"/>
        <charset val="1"/>
      </rPr>
      <t xml:space="preserve">90° </t>
    </r>
    <r>
      <rPr>
        <sz val="9"/>
        <color rgb="FF555555"/>
        <rFont val="WenQuanYi Zen Hei"/>
        <family val="2"/>
      </rPr>
      <t xml:space="preserve">회전 → 나머지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면 용접 순서로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용접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일이 회전 후로 이동함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금액 동일</t>
    </r>
    <r>
      <rPr>
        <sz val="9"/>
        <color rgb="FF555555"/>
        <rFont val="맑은 고딕"/>
        <family val="0"/>
        <charset val="1"/>
      </rPr>
      <t xml:space="preserve">).</t>
    </r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</si>
  <si>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회전은 일체 약 </t>
    </r>
    <r>
      <rPr>
        <sz val="9"/>
        <color rgb="FF555555"/>
        <rFont val="맑은 고딕"/>
        <family val="0"/>
        <charset val="1"/>
      </rPr>
      <t xml:space="preserve">83t(45t + 38t)</t>
    </r>
    <r>
      <rPr>
        <sz val="9"/>
        <color rgb="FF555555"/>
        <rFont val="WenQuanYi Zen Hei"/>
        <family val="2"/>
      </rPr>
      <t xml:space="preserve">을 모서리 기준으로 세우는 작업으로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실제 크레인 사양은 인양계획서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구조검토로 확정 필요함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</si>
  <si>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회전 후 원래 자세로 되돌리는 회전이나 영구 받침이 필요하면 별도임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</si>
  <si>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견적 산출근거</t>
  </si>
  <si>
    <r>
      <rPr>
        <sz val="9"/>
        <color rgb="FF555555"/>
        <rFont val="WenQuanYi Zen Hei"/>
        <family val="2"/>
      </rPr>
      <t xml:space="preserve">금액은 공종 시트에서 연동됨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초록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노란 칸은 업체 견적으로 확인할 가정값임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</si>
  <si>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공종</t>
  </si>
  <si>
    <t xml:space="preserve">품명</t>
  </si>
  <si>
    <t xml:space="preserve">규격</t>
  </si>
  <si>
    <t xml:space="preserve">산출식</t>
  </si>
  <si>
    <r>
      <rPr>
        <b val="true"/>
        <sz val="10"/>
        <color rgb="FFFFFFFF"/>
        <rFont val="WenQuanYi Zen Hei"/>
        <family val="2"/>
      </rPr>
      <t xml:space="preserve">금액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</si>
  <si>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근거</t>
  </si>
  <si>
    <t xml:space="preserve">시중노임 참고</t>
  </si>
  <si>
    <t xml:space="preserve">도비 전문기공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</si>
  <si>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밀착 이동</t>
    </r>
  </si>
  <si>
    <r>
      <rPr>
        <sz val="10"/>
        <color rgb="FF000000"/>
        <rFont val="맑은 고딕"/>
        <family val="0"/>
        <charset val="1"/>
      </rPr>
      <t xml:space="preserve">(6 + 6 + 3)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</si>
  <si>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 사용자 제시 </t>
    </r>
    <r>
      <rPr>
        <sz val="10"/>
        <color rgb="FF000000"/>
        <rFont val="맑은 고딕"/>
        <family val="0"/>
        <charset val="1"/>
      </rPr>
      <t xml:space="preserve">(2026-10-12), </t>
    </r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</si>
  <si>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비계공 </t>
    </r>
    <r>
      <rPr>
        <sz val="10"/>
        <color rgb="FF000000"/>
        <rFont val="맑은 고딕"/>
        <family val="0"/>
        <charset val="1"/>
      </rPr>
      <t xml:space="preserve">281,939</t>
    </r>
    <r>
      <rPr>
        <sz val="10"/>
        <color rgb="FF000000"/>
        <rFont val="WenQuanYi Zen Hei"/>
        <family val="2"/>
      </rPr>
      <t xml:space="preserve">원</t>
    </r>
  </si>
  <si>
    <t xml:space="preserve">신호수</t>
  </si>
  <si>
    <t xml:space="preserve">크레인 인양 신호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</si>
  <si>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</si>
  <si>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</si>
  <si>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특별인부 </t>
    </r>
    <r>
      <rPr>
        <sz val="10"/>
        <color rgb="FF000000"/>
        <rFont val="맑은 고딕"/>
        <family val="0"/>
        <charset val="1"/>
      </rPr>
      <t xml:space="preserve">226,122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</si>
  <si>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안전담당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관리감독자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</si>
  <si>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작업 전 </t>
    </r>
    <r>
      <rPr>
        <sz val="10"/>
        <color rgb="FF000000"/>
        <rFont val="맑은 고딕"/>
        <family val="0"/>
        <charset val="1"/>
      </rPr>
      <t xml:space="preserve">TBM·</t>
    </r>
    <r>
      <rPr>
        <sz val="10"/>
        <color rgb="FF000000"/>
        <rFont val="WenQuanYi Zen Hei"/>
        <family val="2"/>
      </rPr>
      <t xml:space="preserve">인양구역 통제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</si>
  <si>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320,000</t>
    </r>
    <r>
      <rPr>
        <sz val="10"/>
        <color rgb="FF000000"/>
        <rFont val="WenQuanYi Zen Hei"/>
        <family val="2"/>
      </rPr>
      <t xml:space="preserve">원</t>
    </r>
  </si>
  <si>
    <t xml:space="preserve">크레인</t>
  </si>
  <si>
    <t xml:space="preserve">100TON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</si>
  <si>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2,400,000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</si>
  <si>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</t>
  </si>
  <si>
    <t xml:space="preserve">60TON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</si>
  <si>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1,700,000</t>
    </r>
    <r>
      <rPr>
        <sz val="10"/>
        <color rgb="FF000000"/>
        <rFont val="WenQuanYi Zen Hei"/>
        <family val="2"/>
      </rPr>
      <t xml:space="preserve">원</t>
    </r>
  </si>
  <si>
    <t xml:space="preserve">아웃리거 받침 철판</t>
  </si>
  <si>
    <r>
      <rPr>
        <sz val="10"/>
        <color rgb="FF000000"/>
        <rFont val="맑은 고딕"/>
        <family val="0"/>
        <charset val="1"/>
      </rPr>
      <t xml:space="preserve">1,500×1,500×25t, 8</t>
    </r>
    <r>
      <rPr>
        <sz val="10"/>
        <color rgb="FF000000"/>
        <rFont val="WenQuanYi Zen Hei"/>
        <family val="2"/>
      </rPr>
      <t xml:space="preserve">매</t>
    </r>
  </si>
  <si>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80,000</t>
    </r>
    <r>
      <rPr>
        <sz val="10"/>
        <color rgb="FF000000"/>
        <rFont val="WenQuanYi Zen Hei"/>
        <family val="2"/>
      </rPr>
      <t xml:space="preserve">원</t>
    </r>
  </si>
  <si>
    <t xml:space="preserve">밀착 이동 장비</t>
  </si>
  <si>
    <r>
      <rPr>
        <sz val="10"/>
        <color rgb="FF000000"/>
        <rFont val="WenQuanYi Zen Hei"/>
        <family val="2"/>
      </rPr>
      <t xml:space="preserve">유압잭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윈치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스키드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</si>
  <si>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</si>
  <si>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공구사용손료</t>
  </si>
  <si>
    <r>
      <rPr>
        <sz val="10"/>
        <color rgb="FF000000"/>
        <rFont val="WenQuanYi Zen Hei"/>
        <family val="2"/>
      </rPr>
      <t xml:space="preserve">도비 전문장비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줄걸이구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</si>
  <si>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</si>
  <si>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</si>
  <si>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소모품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</si>
  <si>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WenQuanYi Zen Hei"/>
        <family val="2"/>
      </rPr>
      <t xml:space="preserve">목재 받침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 보호대 등</t>
    </r>
  </si>
  <si>
    <t xml:space="preserve">안전펜스 임대</t>
  </si>
  <si>
    <r>
      <rPr>
        <sz val="10"/>
        <color rgb="FF000000"/>
        <rFont val="WenQuanYi Zen Hei"/>
        <family val="2"/>
      </rPr>
      <t xml:space="preserve">이동식 메쉬펜스 </t>
    </r>
    <r>
      <rPr>
        <sz val="10"/>
        <color rgb="FF000000"/>
        <rFont val="맑은 고딕"/>
        <family val="0"/>
        <charset val="1"/>
      </rPr>
      <t xml:space="preserve">H1.8×W2.4m</t>
    </r>
  </si>
  <si>
    <r>
      <rPr>
        <sz val="10"/>
        <color rgb="FF000000"/>
        <rFont val="WenQuanYi Zen Hei"/>
        <family val="2"/>
      </rPr>
      <t xml:space="preserve">작업구역 </t>
    </r>
    <r>
      <rPr>
        <sz val="10"/>
        <color rgb="FF000000"/>
        <rFont val="맑은 고딕"/>
        <family val="0"/>
        <charset val="1"/>
      </rPr>
      <t xml:space="preserve">10×15m, 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÷ 2.4m = 21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출입문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매 → </t>
    </r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</si>
  <si>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수량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사용자 제시</t>
    </r>
  </si>
  <si>
    <r>
      <rPr>
        <sz val="10"/>
        <color rgb="FF000000"/>
        <rFont val="WenQuanYi Zen Hei"/>
        <family val="2"/>
      </rPr>
      <t xml:space="preserve">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해체</t>
    </r>
  </si>
  <si>
    <t xml:space="preserve">설치 인건비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</si>
  <si>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</si>
  <si>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보통인부 </t>
    </r>
    <r>
      <rPr>
        <sz val="10"/>
        <color rgb="FF000000"/>
        <rFont val="맑은 고딕"/>
        <family val="0"/>
        <charset val="1"/>
      </rPr>
      <t xml:space="preserve">172,068</t>
    </r>
    <r>
      <rPr>
        <sz val="10"/>
        <color rgb="FF000000"/>
        <rFont val="WenQuanYi Zen Hei"/>
        <family val="2"/>
      </rPr>
      <t xml:space="preserve">원</t>
    </r>
  </si>
  <si>
    <t xml:space="preserve">펜스 운반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</si>
  <si>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톤 화물 왕복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</si>
  <si>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</si>
  <si>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t xml:space="preserve">출입통제 안전장비</t>
  </si>
  <si>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교통비 등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</si>
  <si>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600,000</t>
    </r>
    <r>
      <rPr>
        <sz val="10"/>
        <color rgb="FF000000"/>
        <rFont val="WenQuanYi Zen Hei"/>
        <family val="2"/>
      </rPr>
      <t xml:space="preserve">원</t>
    </r>
  </si>
  <si>
    <r>
      <rPr>
        <b val="true"/>
        <sz val="10"/>
        <color rgb="FF000000"/>
        <rFont val="WenQuanYi Zen Hei"/>
        <family val="2"/>
      </rPr>
      <t xml:space="preserve">법정경비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일반관리비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이윤</t>
    </r>
  </si>
  <si>
    <t xml:space="preserve">요율근거 시트</t>
  </si>
  <si>
    <t xml:space="preserve">공종 합계</t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</si>
  <si>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20,000,000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</si>
  <si>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용접사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</si>
  <si>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접합부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</si>
  <si>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</si>
  <si>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현장 실거래 수준 적용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용접사 상향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제관사 수준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</si>
  <si>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플랜트용접공 </t>
    </r>
    <r>
      <rPr>
        <sz val="10"/>
        <color rgb="FF000000"/>
        <rFont val="맑은 고딕"/>
        <family val="0"/>
        <charset val="1"/>
      </rPr>
      <t xml:space="preserve">292,640</t>
    </r>
    <r>
      <rPr>
        <sz val="10"/>
        <color rgb="FF000000"/>
        <rFont val="WenQuanYi Zen Hei"/>
        <family val="2"/>
      </rPr>
      <t xml:space="preserve">원</t>
    </r>
  </si>
  <si>
    <t xml:space="preserve">고급기술자</t>
  </si>
  <si>
    <r>
      <rPr>
        <sz val="10"/>
        <color rgb="FF000000"/>
        <rFont val="WenQuanYi Zen Hei"/>
        <family val="2"/>
      </rPr>
      <t xml:space="preserve">제관사 수준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취부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치수 관리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</si>
  <si>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</si>
  <si>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플랜트제관공 </t>
    </r>
    <r>
      <rPr>
        <sz val="10"/>
        <color rgb="FF000000"/>
        <rFont val="맑은 고딕"/>
        <family val="0"/>
        <charset val="1"/>
      </rPr>
      <t xml:space="preserve">266,029</t>
    </r>
    <r>
      <rPr>
        <sz val="10"/>
        <color rgb="FF000000"/>
        <rFont val="WenQuanYi Zen Hei"/>
        <family val="2"/>
      </rPr>
      <t xml:space="preserve">원</t>
    </r>
  </si>
  <si>
    <t xml:space="preserve">사상 기술자</t>
  </si>
  <si>
    <t xml:space="preserve">접합면 그라인딩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</si>
  <si>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</si>
  <si>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</si>
  <si>
    <t xml:space="preserve">조공</t>
  </si>
  <si>
    <r>
      <rPr>
        <sz val="10"/>
        <color rgb="FF000000"/>
        <rFont val="WenQuanYi Zen Hei"/>
        <family val="2"/>
      </rPr>
      <t xml:space="preserve">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보조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</si>
  <si>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</si>
  <si>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화재감시자</t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</si>
  <si>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사상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</si>
  <si>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</si>
  <si>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산업안전보건기준에 관한 규칙 제</t>
    </r>
    <r>
      <rPr>
        <sz val="10"/>
        <color rgb="FF000000"/>
        <rFont val="맑은 고딕"/>
        <family val="0"/>
        <charset val="1"/>
      </rPr>
      <t xml:space="preserve">241</t>
    </r>
    <r>
      <rPr>
        <sz val="10"/>
        <color rgb="FF000000"/>
        <rFont val="WenQuanYi Zen Hei"/>
        <family val="2"/>
      </rPr>
      <t xml:space="preserve">조의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</si>
  <si>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용접기 대여</t>
    </r>
  </si>
  <si>
    <r>
      <rPr>
        <sz val="10"/>
        <color rgb="FF000000"/>
        <rFont val="맑은 고딕"/>
        <family val="0"/>
        <charset val="1"/>
      </rPr>
      <t xml:space="preserve">500A</t>
    </r>
    <r>
      <rPr>
        <sz val="10"/>
        <color rgb="FF000000"/>
        <rFont val="WenQuanYi Zen Hei"/>
        <family val="2"/>
      </rPr>
      <t xml:space="preserve">급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</si>
  <si>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</si>
  <si>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그라인더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조명</t>
    </r>
  </si>
  <si>
    <r>
      <rPr>
        <sz val="10"/>
        <color rgb="FF000000"/>
        <rFont val="WenQuanYi Zen Hei"/>
        <family val="2"/>
      </rPr>
      <t xml:space="preserve">송풍기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투광등 포함</t>
    </r>
  </si>
  <si>
    <t xml:space="preserve">용접 소모품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</si>
  <si>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</si>
  <si>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용접재 </t>
    </r>
    <r>
      <rPr>
        <sz val="10"/>
        <color rgb="FF000000"/>
        <rFont val="맑은 고딕"/>
        <family val="0"/>
        <charset val="1"/>
      </rPr>
      <t xml:space="preserve">3,000,000 + </t>
    </r>
    <r>
      <rPr>
        <sz val="10"/>
        <color rgb="FF000000"/>
        <rFont val="WenQuanYi Zen Hei"/>
        <family val="2"/>
      </rPr>
      <t xml:space="preserve">전원 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 </t>
    </r>
    <r>
      <rPr>
        <sz val="10"/>
        <color rgb="FF000000"/>
        <rFont val="맑은 고딕"/>
        <family val="0"/>
        <charset val="1"/>
      </rPr>
      <t xml:space="preserve">680,000)</t>
    </r>
  </si>
  <si>
    <t xml:space="preserve">작업발판 장비 임대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</si>
  <si>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약 </t>
    </r>
    <r>
      <rPr>
        <sz val="10"/>
        <color rgb="FF000000"/>
        <rFont val="맑은 고딕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</si>
  <si>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식대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교통비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부대 잡비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</si>
  <si>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1,500,000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지정 </t>
    </r>
    <r>
      <rPr>
        <sz val="10"/>
        <color rgb="FF000000"/>
        <rFont val="맑은 고딕"/>
        <family val="0"/>
        <charset val="1"/>
      </rPr>
      <t xml:space="preserve">2026-10-12)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</si>
  <si>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25,000,000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</si>
  <si>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</si>
  <si>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H-250×250×9×14, 10m 4·5m 16·0.6m 30EA</t>
  </si>
  <si>
    <r>
      <rPr>
        <sz val="10"/>
        <color rgb="FF000000"/>
        <rFont val="맑은 고딕"/>
        <family val="0"/>
        <charset val="1"/>
      </rPr>
      <t xml:space="preserve">9,991kg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중고 구매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 − 회수 고철가치 약 </t>
    </r>
    <r>
      <rPr>
        <sz val="10"/>
        <color rgb="FF000000"/>
        <rFont val="맑은 고딕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회수 손료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</si>
  <si>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 약 </t>
    </r>
    <r>
      <rPr>
        <sz val="10"/>
        <color rgb="FF000000"/>
        <rFont val="맑은 고딕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</si>
  <si>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반입 운임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</si>
  <si>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</t>
    </r>
  </si>
  <si>
    <t xml:space="preserve">회수 반출 운임</t>
  </si>
  <si>
    <r>
      <rPr>
        <sz val="10"/>
        <color rgb="FF000000"/>
        <rFont val="WenQuanYi Zen Hei"/>
        <family val="2"/>
      </rPr>
      <t xml:space="preserve">용접봉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</si>
  <si>
    <t xml:space="preserve">슬라이딩면 처리</t>
  </si>
  <si>
    <r>
      <rPr>
        <sz val="10"/>
        <color rgb="FF000000"/>
        <rFont val="WenQuanYi Zen Hei"/>
        <family val="2"/>
      </rPr>
      <t xml:space="preserve">그리스</t>
    </r>
    <r>
      <rPr>
        <sz val="10"/>
        <color rgb="FF000000"/>
        <rFont val="맑은 고딕"/>
        <family val="0"/>
        <charset val="1"/>
      </rPr>
      <t xml:space="preserve">·PTFE </t>
    </r>
    <r>
      <rPr>
        <sz val="10"/>
        <color rgb="FF000000"/>
        <rFont val="WenQuanYi Zen Hei"/>
        <family val="2"/>
      </rPr>
      <t xml:space="preserve">시트</t>
    </r>
  </si>
  <si>
    <t xml:space="preserve">레벨 조정재</t>
  </si>
  <si>
    <r>
      <rPr>
        <sz val="10"/>
        <color rgb="FF000000"/>
        <rFont val="WenQuanYi Zen Hei"/>
        <family val="2"/>
      </rPr>
      <t xml:space="preserve">라이너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 플레이트</t>
    </r>
  </si>
  <si>
    <t xml:space="preserve">제관사</t>
  </si>
  <si>
    <r>
      <rPr>
        <sz val="10"/>
        <color rgb="FF000000"/>
        <rFont val="WenQuanYi Zen Hei"/>
        <family val="2"/>
      </rPr>
      <t xml:space="preserve">절단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취부</t>
    </r>
  </si>
  <si>
    <r>
      <rPr>
        <sz val="10"/>
        <color rgb="FF000000"/>
        <rFont val="WenQuanYi Zen Hei"/>
        <family val="2"/>
      </rPr>
      <t xml:space="preserve">인원 사용자 제시</t>
    </r>
    <r>
      <rPr>
        <sz val="10"/>
        <color rgb="FF000000"/>
        <rFont val="맑은 고딕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직종 구성 가정</t>
    </r>
  </si>
  <si>
    <t xml:space="preserve">베이스 조립 용접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</si>
  <si>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</si>
  <si>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자재 정리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보조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</si>
  <si>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</si>
  <si>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절단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</si>
  <si>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</si>
  <si>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t xml:space="preserve">지게차</t>
  </si>
  <si>
    <r>
      <rPr>
        <sz val="10"/>
        <color rgb="FF000000"/>
        <rFont val="WenQuanYi Zen Hei"/>
        <family val="2"/>
      </rPr>
      <t xml:space="preserve">자재 하역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조립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</si>
  <si>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</si>
  <si>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회수 시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상차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</si>
  <si>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</si>
  <si>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 단가 준용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</si>
  <si>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</si>
  <si>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t xml:space="preserve">절단기</t>
  </si>
  <si>
    <r>
      <rPr>
        <sz val="10"/>
        <color rgb="FF000000"/>
        <rFont val="WenQuanYi Zen Hei"/>
        <family val="2"/>
      </rPr>
      <t xml:space="preserve">산소</t>
    </r>
    <r>
      <rPr>
        <sz val="10"/>
        <color rgb="FF000000"/>
        <rFont val="맑은 고딕"/>
        <family val="0"/>
        <charset val="1"/>
      </rPr>
      <t xml:space="preserve">·LPG </t>
    </r>
    <r>
      <rPr>
        <sz val="10"/>
        <color rgb="FF000000"/>
        <rFont val="WenQuanYi Zen Hei"/>
        <family val="2"/>
      </rPr>
      <t xml:space="preserve">가스절단기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</si>
  <si>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18,000,000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</si>
  <si>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도비</t>
    </r>
  </si>
  <si>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회전 준비</t>
    </r>
    <r>
      <rPr>
        <sz val="10"/>
        <color rgb="FF000000"/>
        <rFont val="맑은 고딕"/>
        <family val="0"/>
        <charset val="1"/>
      </rPr>
      <t xml:space="preserve">·90° </t>
    </r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회전 후 정리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</si>
  <si>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+ 4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</si>
  <si>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인원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×3</t>
    </r>
    <r>
      <rPr>
        <sz val="10"/>
        <color rgb="FF000000"/>
        <rFont val="WenQuanYi Zen Hei"/>
        <family val="2"/>
      </rPr>
      <t xml:space="preserve">일 유지</t>
    </r>
    <r>
      <rPr>
        <sz val="10"/>
        <color rgb="FF000000"/>
        <rFont val="맑은 고딕"/>
        <family val="0"/>
        <charset val="1"/>
      </rPr>
      <t xml:space="preserve">(B</t>
    </r>
    <r>
      <rPr>
        <sz val="10"/>
        <color rgb="FF000000"/>
        <rFont val="WenQuanYi Zen Hei"/>
        <family val="2"/>
      </rPr>
      <t xml:space="preserve">안 별도 지정 없음</t>
    </r>
    <r>
      <rPr>
        <sz val="10"/>
        <color rgb="FF000000"/>
        <rFont val="맑은 고딕"/>
        <family val="0"/>
        <charset val="1"/>
      </rPr>
      <t xml:space="preserve">), 1</t>
    </r>
    <r>
      <rPr>
        <sz val="10"/>
        <color rgb="FF000000"/>
        <rFont val="WenQuanYi Zen Hei"/>
        <family val="2"/>
      </rPr>
      <t xml:space="preserve">일 추가분 사용자 지시 </t>
    </r>
    <r>
      <rPr>
        <sz val="10"/>
        <color rgb="FF000000"/>
        <rFont val="맑은 고딕"/>
        <family val="0"/>
        <charset val="1"/>
      </rPr>
      <t xml:space="preserve">2026-10-12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</si>
  <si>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</si>
  <si>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t xml:space="preserve">인양구역 통제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</si>
  <si>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</si>
  <si>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60TON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</si>
  <si>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</t>
    </r>
    <r>
      <rPr>
        <sz val="10"/>
        <color rgb="FF000000"/>
        <rFont val="WenQuanYi Zen Hei"/>
        <family val="2"/>
      </rPr>
      <t xml:space="preserve">급 </t>
    </r>
    <r>
      <rPr>
        <sz val="10"/>
        <color rgb="FF000000"/>
        <rFont val="맑은 고딕"/>
        <family val="0"/>
        <charset val="1"/>
      </rPr>
      <t xml:space="preserve">(90° </t>
    </r>
    <r>
      <rPr>
        <sz val="10"/>
        <color rgb="FF000000"/>
        <rFont val="WenQuanYi Zen Hei"/>
        <family val="2"/>
      </rPr>
      <t xml:space="preserve">회전 주 크레인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</si>
  <si>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3,500,000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</si>
  <si>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2026-10-12: 350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</si>
  <si>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 </t>
    </r>
    <r>
      <rPr>
        <sz val="10"/>
        <color rgb="FF000000"/>
        <rFont val="WenQuanYi Zen Hei"/>
        <family val="2"/>
      </rPr>
      <t xml:space="preserve">회송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웨이트 운반</t>
    </r>
  </si>
  <si>
    <t xml:space="preserve">카운터웨이트 트레일러 왕복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</si>
  <si>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회전 테일링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</si>
  <si>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회전용 대형 줄걸이</t>
  </si>
  <si>
    <r>
      <rPr>
        <sz val="10"/>
        <color rgb="FF000000"/>
        <rFont val="맑은 고딕"/>
        <family val="0"/>
        <charset val="1"/>
      </rPr>
      <t xml:space="preserve">100t</t>
    </r>
    <r>
      <rPr>
        <sz val="10"/>
        <color rgb="FF000000"/>
        <rFont val="WenQuanYi Zen Hei"/>
        <family val="2"/>
      </rPr>
      <t xml:space="preserve">급 샤클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슬링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스프레더 손료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</si>
  <si>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640,000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</si>
  <si>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회전 착지 깔목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고무판</t>
    </r>
  </si>
  <si>
    <r>
      <rPr>
        <sz val="10"/>
        <color rgb="FF000000"/>
        <rFont val="WenQuanYi Zen Hei"/>
        <family val="2"/>
      </rPr>
      <t xml:space="preserve">목재 받침 </t>
    </r>
    <r>
      <rPr>
        <sz val="10"/>
        <color rgb="FF000000"/>
        <rFont val="맑은 고딕"/>
        <family val="0"/>
        <charset val="1"/>
      </rPr>
      <t xml:space="preserve">300×300, </t>
    </r>
    <r>
      <rPr>
        <sz val="10"/>
        <color rgb="FF000000"/>
        <rFont val="WenQuanYi Zen Hei"/>
        <family val="2"/>
      </rPr>
      <t xml:space="preserve">고무판</t>
    </r>
  </si>
  <si>
    <t xml:space="preserve">와이어 보호대 등</t>
  </si>
  <si>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안과 같음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</si>
  <si>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</si>
  <si>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용접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</si>
  <si>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</si>
  <si>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WenQuanYi Zen Hei"/>
        <family val="2"/>
      </rPr>
      <t xml:space="preserve">보강보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</si>
  <si>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H-200×200×8×12,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맑은 고딕"/>
        <family val="0"/>
        <charset val="1"/>
      </rPr>
      <t xml:space="preserve">25m</t>
    </r>
  </si>
  <si>
    <r>
      <rPr>
        <sz val="10"/>
        <color rgb="FF000000"/>
        <rFont val="맑은 고딕"/>
        <family val="0"/>
        <charset val="1"/>
      </rPr>
      <t xml:space="preserve">25m × 49.9kg/m = 1,248kg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회수조건 단가 준용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</si>
  <si>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보강보 운임</t>
  </si>
  <si>
    <r>
      <rPr>
        <sz val="10"/>
        <color rgb="FF000000"/>
        <rFont val="WenQuanYi Zen Hei"/>
        <family val="2"/>
      </rPr>
      <t xml:space="preserve">반입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반출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</si>
  <si>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160,000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</si>
  <si>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운임 준용</t>
    </r>
  </si>
  <si>
    <t xml:space="preserve">배관 복구 자재</t>
  </si>
  <si>
    <r>
      <rPr>
        <sz val="10"/>
        <color rgb="FF000000"/>
        <rFont val="WenQuanYi Zen Hei"/>
        <family val="2"/>
      </rPr>
      <t xml:space="preserve">가스켓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볼트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너트</t>
    </r>
  </si>
  <si>
    <t xml:space="preserve">조방 보강보 취부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</si>
  <si>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</si>
  <si>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t xml:space="preserve">보강보 용접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</si>
  <si>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</si>
  <si>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t xml:space="preserve">보조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</si>
  <si>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</si>
  <si>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화기작업 전담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</si>
  <si>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</si>
  <si>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바닥 접촉면 기구물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플랜지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브래킷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</si>
  <si>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</si>
  <si>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지시 </t>
    </r>
    <r>
      <rPr>
        <sz val="10"/>
        <color rgb="FF000000"/>
        <rFont val="맑은 고딕"/>
        <family val="0"/>
        <charset val="1"/>
      </rPr>
      <t xml:space="preserve">2026-10-12 (</t>
    </r>
    <r>
      <rPr>
        <sz val="10"/>
        <color rgb="FF000000"/>
        <rFont val="WenQuanYi Zen Hei"/>
        <family val="2"/>
      </rPr>
      <t xml:space="preserve">눕혀 작업하기 위한 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</si>
  <si>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 보조</t>
    </r>
  </si>
  <si>
    <t xml:space="preserve">배관공</t>
  </si>
  <si>
    <r>
      <rPr>
        <sz val="10"/>
        <color rgb="FF000000"/>
        <rFont val="WenQuanYi Zen Hei"/>
        <family val="2"/>
      </rPr>
      <t xml:space="preserve">바닥 접촉면 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</t>
    </r>
  </si>
  <si>
    <r>
      <rPr>
        <sz val="10"/>
        <color rgb="FF000000"/>
        <rFont val="WenQuanYi Zen Hei"/>
        <family val="2"/>
      </rPr>
      <t xml:space="preserve">사용자 제시 공정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</si>
  <si>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플랜트배관공 </t>
    </r>
    <r>
      <rPr>
        <sz val="10"/>
        <color rgb="FF000000"/>
        <rFont val="맑은 고딕"/>
        <family val="0"/>
        <charset val="1"/>
      </rPr>
      <t xml:space="preserve">320,480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</si>
  <si>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</si>
  <si>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9"/>
        <color rgb="FF555555"/>
        <rFont val="WenQuanYi Zen Hei"/>
        <family val="2"/>
      </rPr>
      <t xml:space="preserve">근거 구분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사용자 제시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받은 단가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인원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일수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서해테크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도비 협력사 견적서</t>
    </r>
    <r>
      <rPr>
        <sz val="9"/>
        <color rgb="FF555555"/>
        <rFont val="맑은 고딕"/>
        <family val="0"/>
        <charset val="1"/>
      </rPr>
      <t xml:space="preserve">(2026-10-10) / </t>
    </r>
    <r>
      <rPr>
        <sz val="9"/>
        <color rgb="FF555555"/>
        <rFont val="WenQuanYi Zen Hei"/>
        <family val="2"/>
      </rPr>
      <t xml:space="preserve">공급처 </t>
    </r>
    <r>
      <rPr>
        <sz val="9"/>
        <color rgb="FF555555"/>
        <rFont val="맑은 고딕"/>
        <family val="0"/>
        <charset val="1"/>
      </rPr>
      <t xml:space="preserve">= H</t>
    </r>
    <r>
      <rPr>
        <sz val="9"/>
        <color rgb="FF555555"/>
        <rFont val="WenQuanYi Zen Hei"/>
        <family val="2"/>
      </rPr>
      <t xml:space="preserve">빔 견적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가정값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업체 견적 전 임시값</t>
    </r>
  </si>
  <si>
    <t xml:space="preserve">공 종 별   내 역 서</t>
  </si>
  <si>
    <r>
      <rPr>
        <sz val="9"/>
        <color rgb="FF555555"/>
        <rFont val="WenQuanYi Zen Hei"/>
        <family val="2"/>
      </rPr>
      <t xml:space="preserve">견적번호 </t>
    </r>
    <r>
      <rPr>
        <sz val="9"/>
        <color rgb="FF555555"/>
        <rFont val="맑은 고딕"/>
        <family val="0"/>
        <charset val="1"/>
      </rPr>
      <t xml:space="preserve">NMS-2610-KKT-01   |   </t>
    </r>
    <r>
      <rPr>
        <sz val="9"/>
        <color rgb="FF555555"/>
        <rFont val="WenQuanYi Zen Hei"/>
        <family val="2"/>
      </rPr>
      <t xml:space="preserve">견적일 </t>
    </r>
    <r>
      <rPr>
        <sz val="9"/>
        <color rgb="FF555555"/>
        <rFont val="맑은 고딕"/>
        <family val="0"/>
        <charset val="1"/>
      </rPr>
      <t xml:space="preserve">2026-10-12   |   </t>
    </r>
    <r>
      <rPr>
        <sz val="9"/>
        <color rgb="FF555555"/>
        <rFont val="WenQuanYi Zen Hei"/>
        <family val="2"/>
      </rPr>
      <t xml:space="preserve">금강변압기 유한회사 귀중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</si>
  <si>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진공건조로 </t>
    </r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기 회전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베이스 안착</t>
    </r>
    <r>
      <rPr>
        <b val="true"/>
        <sz val="11"/>
        <color rgb="FF000000"/>
        <rFont val="맑은 고딕"/>
        <family val="0"/>
        <charset val="1"/>
      </rPr>
      <t xml:space="preserve">(1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용접면 밀착 이동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작업구역 안전펜스</t>
    </r>
  </si>
  <si>
    <t xml:space="preserve">수량</t>
  </si>
  <si>
    <t xml:space="preserve">단가</t>
  </si>
  <si>
    <t xml:space="preserve">금액</t>
  </si>
  <si>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</si>
  <si>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·3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(6, 6, 3)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</si>
  <si>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</si>
  <si>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</si>
  <si>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장비</t>
  </si>
  <si>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</si>
  <si>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</t>
    </r>
  </si>
  <si>
    <t xml:space="preserve">아스팔트 지반 보호</t>
  </si>
  <si>
    <t xml:space="preserve">SET</t>
  </si>
  <si>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</t>
    </r>
  </si>
  <si>
    <t xml:space="preserve">안전시설</t>
  </si>
  <si>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</si>
  <si>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+ </t>
    </r>
    <r>
      <rPr>
        <sz val="10"/>
        <color rgb="FF000000"/>
        <rFont val="WenQuanYi Zen Hei"/>
        <family val="2"/>
      </rPr>
      <t xml:space="preserve">출입문</t>
    </r>
    <r>
      <rPr>
        <sz val="10"/>
        <color rgb="FF000000"/>
        <rFont val="맑은 고딕"/>
        <family val="0"/>
        <charset val="1"/>
      </rPr>
      <t xml:space="preserve">) 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</si>
  <si>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해체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</t>
    </r>
  </si>
  <si>
    <t xml:space="preserve">회</t>
  </si>
  <si>
    <r>
      <rPr>
        <sz val="10"/>
        <color rgb="FF000000"/>
        <rFont val="WenQuanYi Zen Hei"/>
        <family val="2"/>
      </rPr>
      <t xml:space="preserve">반입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반출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</si>
  <si>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재료비 계</t>
  </si>
  <si>
    <t xml:space="preserve">노무비 계</t>
  </si>
  <si>
    <t xml:space="preserve">경비 계</t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</si>
  <si>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3.56%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</si>
  <si>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1.15%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</si>
  <si>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 3.11%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</si>
  <si>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 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</si>
  <si>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 12.0%</t>
    </r>
  </si>
  <si>
    <t xml:space="preserve">천원 미만 절사</t>
  </si>
  <si>
    <t xml:space="preserve">부가세 별도</t>
  </si>
  <si>
    <r>
      <rPr>
        <sz val="9"/>
        <color rgb="FF555555"/>
        <rFont val="WenQuanYi Zen Hei"/>
        <family val="2"/>
      </rPr>
      <t xml:space="preserve">※ 파란 글씨는 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입력값이며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산출근거</t>
    </r>
    <r>
      <rPr>
        <sz val="9"/>
        <color rgb="FF555555"/>
        <rFont val="맑은 고딕"/>
        <family val="0"/>
        <charset val="1"/>
      </rPr>
      <t xml:space="preserve">'·'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시트에 정리함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</si>
  <si>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연장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야간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휴일 작업은 공정에 따라 당사가 수행함 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추가 정산 없음</t>
    </r>
    <r>
      <rPr>
        <sz val="9"/>
        <color rgb="FF555555"/>
        <rFont val="맑은 고딕"/>
        <family val="0"/>
        <charset val="1"/>
      </rPr>
      <t xml:space="preserve">).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</si>
  <si>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접합면 사상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 </t>
    </r>
    <r>
      <rPr>
        <b val="true"/>
        <sz val="11"/>
        <color rgb="FF000000"/>
        <rFont val="WenQuanYi Zen Hei"/>
        <family val="2"/>
      </rPr>
      <t xml:space="preserve">및 접합부 </t>
    </r>
    <r>
      <rPr>
        <b val="true"/>
        <sz val="11"/>
        <color rgb="FF000000"/>
        <rFont val="맑은 고딕"/>
        <family val="0"/>
        <charset val="1"/>
      </rPr>
      <t xml:space="preserve">CO2 </t>
    </r>
    <r>
      <rPr>
        <b val="true"/>
        <sz val="11"/>
        <color rgb="FF000000"/>
        <rFont val="WenQuanYi Zen Hei"/>
        <family val="2"/>
      </rPr>
      <t xml:space="preserve">용접</t>
    </r>
    <r>
      <rPr>
        <b val="true"/>
        <sz val="11"/>
        <color rgb="FF000000"/>
        <rFont val="맑은 고딕"/>
        <family val="0"/>
        <charset val="1"/>
      </rPr>
      <t xml:space="preserve">(3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</si>
  <si>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</si>
  <si>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</si>
  <si>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</si>
  <si>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3)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</si>
  <si>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</si>
  <si>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사다리형 일체 임시 베이스 제작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설치 및 공사 후 회수</t>
    </r>
    <r>
      <rPr>
        <b val="true"/>
        <sz val="11"/>
        <color rgb="FF000000"/>
        <rFont val="맑은 고딕"/>
        <family val="0"/>
        <charset val="1"/>
      </rPr>
      <t xml:space="preserve">, H-250×250</t>
    </r>
  </si>
  <si>
    <t xml:space="preserve">kg</t>
  </si>
  <si>
    <r>
      <rPr>
        <sz val="10"/>
        <color rgb="FF000000"/>
        <rFont val="WenQuanYi Zen Hei"/>
        <family val="2"/>
      </rPr>
      <t xml:space="preserve">공사 후 회수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중고 구매가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</t>
    </r>
  </si>
  <si>
    <t xml:space="preserve">반입 운임과 같게 적용</t>
  </si>
  <si>
    <t xml:space="preserve">밀착 이동용 레일 상면</t>
  </si>
  <si>
    <r>
      <rPr>
        <sz val="10"/>
        <color rgb="FF000000"/>
        <rFont val="WenQuanYi Zen Hei"/>
        <family val="2"/>
      </rPr>
      <t xml:space="preserve">베이스 수평 </t>
    </r>
    <r>
      <rPr>
        <sz val="10"/>
        <color rgb="FF000000"/>
        <rFont val="맑은 고딕"/>
        <family val="0"/>
        <charset val="1"/>
      </rPr>
      <t xml:space="preserve">±2mm</t>
    </r>
  </si>
  <si>
    <t xml:space="preserve">일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</si>
  <si>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</si>
  <si>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조방 안착</t>
    </r>
    <r>
      <rPr>
        <b val="true"/>
        <sz val="11"/>
        <color rgb="FF000000"/>
        <rFont val="맑은 고딕"/>
        <family val="0"/>
        <charset val="1"/>
      </rPr>
      <t xml:space="preserve">(100t·60t) + </t>
    </r>
    <r>
      <rPr>
        <b val="true"/>
        <sz val="11"/>
        <color rgb="FF000000"/>
        <rFont val="WenQuanYi Zen Hei"/>
        <family val="2"/>
      </rPr>
      <t xml:space="preserve">전체 </t>
    </r>
    <r>
      <rPr>
        <b val="true"/>
        <sz val="11"/>
        <color rgb="FF000000"/>
        <rFont val="맑은 고딕"/>
        <family val="0"/>
        <charset val="1"/>
      </rPr>
      <t xml:space="preserve">90° </t>
    </r>
    <r>
      <rPr>
        <b val="true"/>
        <sz val="11"/>
        <color rgb="FF000000"/>
        <rFont val="WenQuanYi Zen Hei"/>
        <family val="2"/>
      </rPr>
      <t xml:space="preserve">회전</t>
    </r>
    <r>
      <rPr>
        <b val="true"/>
        <sz val="11"/>
        <color rgb="FF000000"/>
        <rFont val="맑은 고딕"/>
        <family val="0"/>
        <charset val="1"/>
      </rPr>
      <t xml:space="preserve">(200t </t>
    </r>
    <r>
      <rPr>
        <b val="true"/>
        <sz val="11"/>
        <color rgb="FF000000"/>
        <rFont val="WenQuanYi Zen Hei"/>
        <family val="2"/>
      </rPr>
      <t xml:space="preserve">주 </t>
    </r>
    <r>
      <rPr>
        <b val="true"/>
        <sz val="11"/>
        <color rgb="FF000000"/>
        <rFont val="맑은 고딕"/>
        <family val="0"/>
        <charset val="1"/>
      </rPr>
      <t xml:space="preserve">+ 100t </t>
    </r>
    <r>
      <rPr>
        <b val="true"/>
        <sz val="11"/>
        <color rgb="FF000000"/>
        <rFont val="WenQuanYi Zen Hei"/>
        <family val="2"/>
      </rPr>
      <t xml:space="preserve">테일링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안전펜스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</si>
  <si>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+ 4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회전 후 작업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</si>
  <si>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</si>
  <si>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안착일</t>
  </si>
  <si>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일체 약 </t>
    </r>
    <r>
      <rPr>
        <sz val="10"/>
        <color rgb="FF000000"/>
        <rFont val="맑은 고딕"/>
        <family val="0"/>
        <charset val="1"/>
      </rPr>
      <t xml:space="preserve">83t</t>
    </r>
  </si>
  <si>
    <t xml:space="preserve">대형 크레인 부대비</t>
  </si>
  <si>
    <t xml:space="preserve">회전 시 하단 잡아주기</t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</si>
  <si>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</si>
  <si>
    <t xml:space="preserve">회전 후 착지면 보호</t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</si>
  <si>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</si>
  <si>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사상</t>
    </r>
    <r>
      <rPr>
        <b val="true"/>
        <sz val="11"/>
        <color rgb="FF000000"/>
        <rFont val="맑은 고딕"/>
        <family val="0"/>
        <charset val="1"/>
      </rPr>
      <t xml:space="preserve">, 3</t>
    </r>
    <r>
      <rPr>
        <b val="true"/>
        <sz val="11"/>
        <color rgb="FF000000"/>
        <rFont val="WenQuanYi Zen Hei"/>
        <family val="2"/>
      </rPr>
      <t xml:space="preserve">면 용접 → 회전 후 나머지 </t>
    </r>
    <r>
      <rPr>
        <b val="true"/>
        <sz val="11"/>
        <color rgb="FF000000"/>
        <rFont val="맑은 고딕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면 용접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</si>
  <si>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기존 조방 </t>
    </r>
    <r>
      <rPr>
        <b val="true"/>
        <sz val="11"/>
        <color rgb="FF000000"/>
        <rFont val="맑은 고딕"/>
        <family val="0"/>
        <charset val="1"/>
      </rPr>
      <t xml:space="preserve">7×3m </t>
    </r>
    <r>
      <rPr>
        <b val="true"/>
        <sz val="11"/>
        <color rgb="FF000000"/>
        <rFont val="WenQuanYi Zen Hei"/>
        <family val="2"/>
      </rPr>
      <t xml:space="preserve">개조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보강보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바닥 접촉면 배관 제거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복구</t>
    </r>
  </si>
  <si>
    <r>
      <rPr>
        <sz val="10"/>
        <color rgb="FF000000"/>
        <rFont val="맑은 고딕"/>
        <family val="0"/>
        <charset val="1"/>
      </rPr>
      <t xml:space="preserve">25m × 49.9kg/m, </t>
    </r>
    <r>
      <rPr>
        <sz val="10"/>
        <color rgb="FF000000"/>
        <rFont val="WenQuanYi Zen Hei"/>
        <family val="2"/>
      </rPr>
      <t xml:space="preserve">공사 후 회수</t>
    </r>
  </si>
  <si>
    <t xml:space="preserve">제거한 배관 재조립용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</si>
  <si>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</si>
  <si>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</si>
  <si>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제거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1)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</si>
  <si>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제거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복구 </t>
    </r>
    <r>
      <rPr>
        <sz val="10"/>
        <color rgb="FF000000"/>
        <rFont val="맑은 고딕"/>
        <family val="0"/>
        <charset val="1"/>
      </rPr>
      <t xml:space="preserve">1)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</si>
  <si>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</si>
  <si>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3"/>
        <color rgb="FF000000"/>
        <rFont val="WenQuanYi Zen Hei"/>
        <family val="2"/>
      </rPr>
      <t xml:space="preserve">베이스 자재</t>
    </r>
    <r>
      <rPr>
        <b val="true"/>
        <sz val="13"/>
        <color rgb="FF000000"/>
        <rFont val="맑은 고딕"/>
        <family val="0"/>
        <charset val="1"/>
      </rPr>
      <t xml:space="preserve">: H-250×250×9×14 (</t>
    </r>
    <r>
      <rPr>
        <b val="true"/>
        <sz val="13"/>
        <color rgb="FF000000"/>
        <rFont val="WenQuanYi Zen Hei"/>
        <family val="2"/>
      </rPr>
      <t xml:space="preserve">공급처 견적</t>
    </r>
    <r>
      <rPr>
        <b val="true"/>
        <sz val="13"/>
        <color rgb="FF000000"/>
        <rFont val="맑은 고딕"/>
        <family val="0"/>
        <charset val="1"/>
      </rPr>
      <t xml:space="preserve">, </t>
    </r>
    <r>
      <rPr>
        <b val="true"/>
        <sz val="13"/>
        <color rgb="FF000000"/>
        <rFont val="WenQuanYi Zen Hei"/>
        <family val="2"/>
      </rPr>
      <t xml:space="preserve">부가세 미포함</t>
    </r>
    <r>
      <rPr>
        <b val="true"/>
        <sz val="13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</si>
  <si>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</si>
  <si>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(EA)</t>
    </r>
  </si>
  <si>
    <r>
      <rPr>
        <b val="true"/>
        <sz val="10"/>
        <color rgb="FFFFFFFF"/>
        <rFont val="WenQuanYi Zen Hei"/>
        <family val="2"/>
      </rPr>
      <t xml:space="preserve">총 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</si>
  <si>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단위중량</t>
    </r>
    <r>
      <rPr>
        <b val="true"/>
        <sz val="10"/>
        <color rgb="FFFFFFFF"/>
        <rFont val="맑은 고딕"/>
        <family val="0"/>
        <charset val="1"/>
      </rPr>
      <t xml:space="preserve">(kg/m)</t>
    </r>
  </si>
  <si>
    <r>
      <rPr>
        <b val="true"/>
        <sz val="10"/>
        <color rgb="FFFFFFFF"/>
        <rFont val="WenQuanYi Zen Hei"/>
        <family val="2"/>
      </rPr>
      <t xml:space="preserve">중량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</si>
  <si>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맑은 고딕"/>
        <family val="0"/>
        <charset val="1"/>
      </rPr>
      <t xml:space="preserve">kg</t>
    </r>
    <r>
      <rPr>
        <b val="true"/>
        <sz val="10"/>
        <color rgb="FFFFFFFF"/>
        <rFont val="WenQuanYi Zen Hei"/>
        <family val="2"/>
      </rPr>
      <t xml:space="preserve">당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</si>
  <si>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</si>
  <si>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</si>
  <si>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</si>
  <si>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</si>
  <si>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</si>
  <si>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</si>
  <si>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</si>
  <si>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</si>
  <si>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</si>
  <si>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r>
      <rPr>
        <sz val="9"/>
        <color rgb="FF555555"/>
        <rFont val="WenQuanYi Zen Hei"/>
        <family val="2"/>
      </rPr>
      <t xml:space="preserve">단위중량 </t>
    </r>
    <r>
      <rPr>
        <sz val="9"/>
        <color rgb="FF555555"/>
        <rFont val="맑은 고딕"/>
        <family val="0"/>
        <charset val="1"/>
      </rPr>
      <t xml:space="preserve">72.4 kg/m</t>
    </r>
    <r>
      <rPr>
        <sz val="9"/>
        <color rgb="FF555555"/>
        <rFont val="WenQuanYi Zen Hei"/>
        <family val="2"/>
      </rPr>
      <t xml:space="preserve">는 </t>
    </r>
    <r>
      <rPr>
        <sz val="9"/>
        <color rgb="FF555555"/>
        <rFont val="맑은 고딕"/>
        <family val="0"/>
        <charset val="1"/>
      </rPr>
      <t xml:space="preserve">KS H-250×250×9×14 </t>
    </r>
    <r>
      <rPr>
        <sz val="9"/>
        <color rgb="FF555555"/>
        <rFont val="WenQuanYi Zen Hei"/>
        <family val="2"/>
      </rPr>
      <t xml:space="preserve">공칭값임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베이스는 임시 구조물로 방청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도장 미적용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</si>
  <si>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가계획 </t>
    </r>
    <r>
      <rPr>
        <b val="true"/>
        <sz val="14"/>
        <color rgb="FF000000"/>
        <rFont val="맑은 고딕"/>
        <family val="0"/>
        <charset val="1"/>
      </rPr>
      <t xml:space="preserve">2026.10.21 ~ 11.02, </t>
    </r>
    <r>
      <rPr>
        <b val="true"/>
        <sz val="14"/>
        <color rgb="FF000000"/>
        <rFont val="WenQuanYi Zen Hei"/>
        <family val="2"/>
      </rPr>
      <t xml:space="preserve">작업일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</si>
  <si>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</si>
  <si>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</si>
  <si>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r>
      <rPr>
        <b val="true"/>
        <sz val="9"/>
        <color rgb="FF000000"/>
        <rFont val="맑은 고딕"/>
        <family val="0"/>
        <charset val="1"/>
      </rPr>
      <t xml:space="preserve">10/21
</t>
    </r>
    <r>
      <rPr>
        <b val="true"/>
        <sz val="9"/>
        <color rgb="FF000000"/>
        <rFont val="WenQuanYi Zen Hei"/>
        <family val="2"/>
      </rPr>
      <t xml:space="preserve">수</t>
    </r>
  </si>
  <si>
    <r>
      <rPr>
        <b val="true"/>
        <sz val="9"/>
        <color rgb="FF000000"/>
        <rFont val="맑은 고딕"/>
        <family val="0"/>
        <charset val="1"/>
      </rPr>
      <t xml:space="preserve">10/22
</t>
    </r>
    <r>
      <rPr>
        <b val="true"/>
        <sz val="9"/>
        <color rgb="FF000000"/>
        <rFont val="WenQuanYi Zen Hei"/>
        <family val="2"/>
      </rPr>
      <t xml:space="preserve">목</t>
    </r>
  </si>
  <si>
    <r>
      <rPr>
        <b val="true"/>
        <sz val="9"/>
        <color rgb="FF000000"/>
        <rFont val="맑은 고딕"/>
        <family val="0"/>
        <charset val="1"/>
      </rPr>
      <t xml:space="preserve">10/23
</t>
    </r>
    <r>
      <rPr>
        <b val="true"/>
        <sz val="9"/>
        <color rgb="FF000000"/>
        <rFont val="WenQuanYi Zen Hei"/>
        <family val="2"/>
      </rPr>
      <t xml:space="preserve">금</t>
    </r>
  </si>
  <si>
    <r>
      <rPr>
        <b val="true"/>
        <sz val="9"/>
        <color rgb="FF000000"/>
        <rFont val="맑은 고딕"/>
        <family val="0"/>
        <charset val="1"/>
      </rPr>
      <t xml:space="preserve">10/24
</t>
    </r>
    <r>
      <rPr>
        <b val="true"/>
        <sz val="9"/>
        <color rgb="FF000000"/>
        <rFont val="WenQuanYi Zen Hei"/>
        <family val="2"/>
      </rPr>
      <t xml:space="preserve">토</t>
    </r>
  </si>
  <si>
    <r>
      <rPr>
        <b val="true"/>
        <sz val="9"/>
        <color rgb="FF000000"/>
        <rFont val="맑은 고딕"/>
        <family val="0"/>
        <charset val="1"/>
      </rPr>
      <t xml:space="preserve">10/26
</t>
    </r>
    <r>
      <rPr>
        <b val="true"/>
        <sz val="9"/>
        <color rgb="FF000000"/>
        <rFont val="WenQuanYi Zen Hei"/>
        <family val="2"/>
      </rPr>
      <t xml:space="preserve">월</t>
    </r>
  </si>
  <si>
    <r>
      <rPr>
        <b val="true"/>
        <sz val="9"/>
        <color rgb="FF000000"/>
        <rFont val="맑은 고딕"/>
        <family val="0"/>
        <charset val="1"/>
      </rPr>
      <t xml:space="preserve">10/27
</t>
    </r>
    <r>
      <rPr>
        <b val="true"/>
        <sz val="9"/>
        <color rgb="FF000000"/>
        <rFont val="WenQuanYi Zen Hei"/>
        <family val="2"/>
      </rPr>
      <t xml:space="preserve">화</t>
    </r>
  </si>
  <si>
    <r>
      <rPr>
        <b val="true"/>
        <sz val="9"/>
        <color rgb="FF000000"/>
        <rFont val="맑은 고딕"/>
        <family val="0"/>
        <charset val="1"/>
      </rPr>
      <t xml:space="preserve">10/28
</t>
    </r>
    <r>
      <rPr>
        <b val="true"/>
        <sz val="9"/>
        <color rgb="FF000000"/>
        <rFont val="WenQuanYi Zen Hei"/>
        <family val="2"/>
      </rPr>
      <t xml:space="preserve">수</t>
    </r>
  </si>
  <si>
    <r>
      <rPr>
        <b val="true"/>
        <sz val="9"/>
        <color rgb="FF000000"/>
        <rFont val="맑은 고딕"/>
        <family val="0"/>
        <charset val="1"/>
      </rPr>
      <t xml:space="preserve">10/29
</t>
    </r>
    <r>
      <rPr>
        <b val="true"/>
        <sz val="9"/>
        <color rgb="FF000000"/>
        <rFont val="WenQuanYi Zen Hei"/>
        <family val="2"/>
      </rPr>
      <t xml:space="preserve">목</t>
    </r>
  </si>
  <si>
    <r>
      <rPr>
        <b val="true"/>
        <sz val="9"/>
        <color rgb="FF000000"/>
        <rFont val="맑은 고딕"/>
        <family val="0"/>
        <charset val="1"/>
      </rPr>
      <t xml:space="preserve">10/30
</t>
    </r>
    <r>
      <rPr>
        <b val="true"/>
        <sz val="9"/>
        <color rgb="FF000000"/>
        <rFont val="WenQuanYi Zen Hei"/>
        <family val="2"/>
      </rPr>
      <t xml:space="preserve">금</t>
    </r>
  </si>
  <si>
    <r>
      <rPr>
        <b val="true"/>
        <sz val="9"/>
        <color rgb="FF000000"/>
        <rFont val="맑은 고딕"/>
        <family val="0"/>
        <charset val="1"/>
      </rPr>
      <t xml:space="preserve">10/31
</t>
    </r>
    <r>
      <rPr>
        <b val="true"/>
        <sz val="9"/>
        <color rgb="FF000000"/>
        <rFont val="WenQuanYi Zen Hei"/>
        <family val="2"/>
      </rPr>
      <t xml:space="preserve">토</t>
    </r>
  </si>
  <si>
    <r>
      <rPr>
        <b val="true"/>
        <sz val="9"/>
        <color rgb="FF000000"/>
        <rFont val="맑은 고딕"/>
        <family val="0"/>
        <charset val="1"/>
      </rPr>
      <t xml:space="preserve">11/2
</t>
    </r>
    <r>
      <rPr>
        <b val="true"/>
        <sz val="9"/>
        <color rgb="FF000000"/>
        <rFont val="WenQuanYi Zen Hei"/>
        <family val="2"/>
      </rPr>
      <t xml:space="preserve">월</t>
    </r>
  </si>
  <si>
    <r>
      <rPr>
        <sz val="10"/>
        <color rgb="FF000000"/>
        <rFont val="WenQuanYi Zen Hei"/>
        <family val="2"/>
      </rPr>
      <t xml:space="preserve">안전펜스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작업구역 통제</t>
    </r>
  </si>
  <si>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</si>
  <si>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</si>
  <si>
    <r>
      <rPr>
        <sz val="10"/>
        <color rgb="FF000000"/>
        <rFont val="WenQuanYi Zen Hei"/>
        <family val="2"/>
      </rPr>
      <t xml:space="preserve">제관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</si>
  <si>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 </t>
    </r>
    <r>
      <rPr>
        <sz val="10"/>
        <color rgb="FF000000"/>
        <rFont val="맑은 고딕"/>
        <family val="0"/>
        <charset val="1"/>
      </rPr>
      <t xml:space="preserve">(100t + 60t)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</si>
  <si>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안전담당</t>
    </r>
  </si>
  <si>
    <t xml:space="preserve">접합면 사상</t>
  </si>
  <si>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</si>
  <si>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용접면 밀착 이동</t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</si>
  <si>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·3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안전담당</t>
    </r>
  </si>
  <si>
    <t xml:space="preserve">접합부 용접</t>
  </si>
  <si>
    <r>
      <rPr>
        <sz val="10"/>
        <color rgb="FF000000"/>
        <rFont val="WenQuanYi Zen Hei"/>
        <family val="2"/>
      </rPr>
      <t xml:space="preserve">용접사 </t>
    </r>
    <r>
      <rPr>
        <sz val="10"/>
        <color rgb="FF000000"/>
        <rFont val="맑은 고딕"/>
        <family val="0"/>
        <charset val="1"/>
      </rPr>
      <t xml:space="preserve">3, </t>
    </r>
    <r>
      <rPr>
        <sz val="10"/>
        <color rgb="FF000000"/>
        <rFont val="WenQuanYi Zen Hei"/>
        <family val="2"/>
      </rPr>
      <t xml:space="preserve">고급기술자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</si>
  <si>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펜스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정리</t>
    </r>
  </si>
  <si>
    <r>
      <rPr>
        <sz val="9"/>
        <color rgb="FF555555"/>
        <rFont val="WenQuanYi Zen Hei"/>
        <family val="2"/>
      </rPr>
      <t xml:space="preserve">가계획</t>
    </r>
    <r>
      <rPr>
        <sz val="9"/>
        <color rgb="FF555555"/>
        <rFont val="맑은 고딕"/>
        <family val="0"/>
        <charset val="1"/>
      </rPr>
      <t xml:space="preserve">: 2026-10-21(</t>
    </r>
    <r>
      <rPr>
        <sz val="9"/>
        <color rgb="FF555555"/>
        <rFont val="WenQuanYi Zen Hei"/>
        <family val="2"/>
      </rPr>
      <t xml:space="preserve">수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착공 </t>
    </r>
    <r>
      <rPr>
        <sz val="9"/>
        <color rgb="FF555555"/>
        <rFont val="맑은 고딕"/>
        <family val="0"/>
        <charset val="1"/>
      </rPr>
      <t xml:space="preserve">~ 11-02(</t>
    </r>
    <r>
      <rPr>
        <sz val="9"/>
        <color rgb="FF555555"/>
        <rFont val="WenQuanYi Zen Hei"/>
        <family val="2"/>
      </rPr>
      <t xml:space="preserve">월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완료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일요일 휴무 기준 작업일 </t>
    </r>
    <r>
      <rPr>
        <sz val="9"/>
        <color rgb="FF555555"/>
        <rFont val="맑은 고딕"/>
        <family val="0"/>
        <charset val="1"/>
      </rPr>
      <t xml:space="preserve">11</t>
    </r>
    <r>
      <rPr>
        <sz val="9"/>
        <color rgb="FF555555"/>
        <rFont val="WenQuanYi Zen Hei"/>
        <family val="2"/>
      </rPr>
      <t xml:space="preserve">일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착공일은 발주처 협의로 확정함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</si>
  <si>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요율 및 단가 근거</t>
  </si>
  <si>
    <r>
      <rPr>
        <sz val="9"/>
        <color rgb="FF555555"/>
        <rFont val="WenQuanYi Zen Hei"/>
        <family val="2"/>
      </rPr>
      <t xml:space="preserve">파란 글씨는 입력값임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변경 시 모든 공종 시트와 견적서가 다시 계산됨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</si>
  <si>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항목</t>
  </si>
  <si>
    <t xml:space="preserve">적용 기준</t>
  </si>
  <si>
    <t xml:space="preserve">요율</t>
  </si>
  <si>
    <r>
      <rPr>
        <b val="true"/>
        <sz val="10"/>
        <color rgb="FFFFFFFF"/>
        <rFont val="WenQuanYi Zen Hei"/>
        <family val="2"/>
      </rPr>
      <t xml:space="preserve">출처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</si>
  <si>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</si>
  <si>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건설업 </t>
    </r>
    <r>
      <rPr>
        <sz val="10"/>
        <color rgb="FF000000"/>
        <rFont val="맑은 고딕"/>
        <family val="0"/>
        <charset val="1"/>
      </rPr>
      <t xml:space="preserve">3.56% (</t>
    </r>
    <r>
      <rPr>
        <sz val="10"/>
        <color rgb="FF000000"/>
        <rFont val="WenQuanYi Zen Hei"/>
        <family val="2"/>
      </rPr>
      <t xml:space="preserve">출퇴근재해 </t>
    </r>
    <r>
      <rPr>
        <sz val="10"/>
        <color rgb="FF000000"/>
        <rFont val="맑은 고딕"/>
        <family val="0"/>
        <charset val="1"/>
      </rPr>
      <t xml:space="preserve">0.06%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</si>
  <si>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실업급여 사업주 </t>
    </r>
    <r>
      <rPr>
        <sz val="10"/>
        <color rgb="FF000000"/>
        <rFont val="맑은 고딕"/>
        <family val="0"/>
        <charset val="1"/>
      </rPr>
      <t xml:space="preserve">0.9% + </t>
    </r>
    <r>
      <rPr>
        <sz val="10"/>
        <color rgb="FF000000"/>
        <rFont val="WenQuanYi Zen Hei"/>
        <family val="2"/>
      </rPr>
      <t xml:space="preserve">고용안정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직업능력개발 </t>
    </r>
    <r>
      <rPr>
        <sz val="10"/>
        <color rgb="FF000000"/>
        <rFont val="맑은 고딕"/>
        <family val="0"/>
        <charset val="1"/>
      </rPr>
      <t xml:space="preserve">0.25% (150</t>
    </r>
    <r>
      <rPr>
        <sz val="10"/>
        <color rgb="FF000000"/>
        <rFont val="WenQuanYi Zen Hei"/>
        <family val="2"/>
      </rPr>
      <t xml:space="preserve">인 미만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</si>
  <si>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</si>
  <si>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고용노동부 건설업 산업안전보건관리비 계상 및 사용기준 </t>
    </r>
    <r>
      <rPr>
        <sz val="10"/>
        <color rgb="FF000000"/>
        <rFont val="맑은 고딕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억 미만 건축공사 </t>
    </r>
    <r>
      <rPr>
        <sz val="10"/>
        <color rgb="FF000000"/>
        <rFont val="맑은 고딕"/>
        <family val="0"/>
        <charset val="1"/>
      </rPr>
      <t xml:space="preserve">3.11%). </t>
    </r>
    <r>
      <rPr>
        <sz val="10"/>
        <color rgb="FF000000"/>
        <rFont val="WenQuanYi Zen Hei"/>
        <family val="2"/>
      </rPr>
      <t xml:space="preserve">총공사금액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천만원 이상 의무 계상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</si>
  <si>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</si>
  <si>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6% </t>
    </r>
    <r>
      <rPr>
        <sz val="10"/>
        <color rgb="FF000000"/>
        <rFont val="WenQuanYi Zen Hei"/>
        <family val="2"/>
      </rPr>
      <t xml:space="preserve">이내에서 </t>
    </r>
    <r>
      <rPr>
        <sz val="10"/>
        <color rgb="FF000000"/>
        <rFont val="맑은 고딕"/>
        <family val="0"/>
        <charset val="1"/>
      </rPr>
      <t xml:space="preserve">5% </t>
    </r>
    <r>
      <rPr>
        <sz val="10"/>
        <color rgb="FF000000"/>
        <rFont val="WenQuanYi Zen Hei"/>
        <family val="2"/>
      </rPr>
      <t xml:space="preserve">적용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</si>
  <si>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</si>
  <si>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</si>
  <si>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15% </t>
    </r>
    <r>
      <rPr>
        <sz val="10"/>
        <color rgb="FF000000"/>
        <rFont val="WenQuanYi Zen Hei"/>
        <family val="2"/>
      </rPr>
      <t xml:space="preserve">이내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</si>
  <si>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</si>
  <si>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베이스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</si>
  <si>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</si>
  <si>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</si>
  <si>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조방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</si>
  <si>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국민연금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장기요양</t>
    </r>
  </si>
  <si>
    <t xml:space="preserve">미계상</t>
  </si>
  <si>
    <t xml:space="preserve">-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</si>
  <si>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인 투입 </t>
    </r>
    <r>
      <rPr>
        <sz val="10"/>
        <color rgb="FF000000"/>
        <rFont val="맑은 고딕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일로 건설일용 사업장가입 기준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일 이상 또는 월 </t>
    </r>
    <r>
      <rPr>
        <sz val="10"/>
        <color rgb="FF000000"/>
        <rFont val="맑은 고딕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만원 이상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에 미달하는 것으로 봄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인원 운용이 바뀌면 국민연금 </t>
    </r>
    <r>
      <rPr>
        <sz val="10"/>
        <color rgb="FF000000"/>
        <rFont val="맑은 고딕"/>
        <family val="0"/>
        <charset val="1"/>
      </rPr>
      <t xml:space="preserve">4.75%, </t>
    </r>
    <r>
      <rPr>
        <sz val="10"/>
        <color rgb="FF000000"/>
        <rFont val="WenQuanYi Zen Hei"/>
        <family val="2"/>
      </rPr>
      <t xml:space="preserve">건강 </t>
    </r>
    <r>
      <rPr>
        <sz val="10"/>
        <color rgb="FF000000"/>
        <rFont val="맑은 고딕"/>
        <family val="0"/>
        <charset val="1"/>
      </rPr>
      <t xml:space="preserve">3.545%, </t>
    </r>
    <r>
      <rPr>
        <sz val="10"/>
        <color rgb="FF000000"/>
        <rFont val="WenQuanYi Zen Hei"/>
        <family val="2"/>
      </rPr>
      <t xml:space="preserve">장기요양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건강보험료의 </t>
    </r>
    <r>
      <rPr>
        <sz val="10"/>
        <color rgb="FF000000"/>
        <rFont val="맑은 고딕"/>
        <family val="0"/>
        <charset val="1"/>
      </rPr>
      <t xml:space="preserve">12.95%) </t>
    </r>
    <r>
      <rPr>
        <sz val="10"/>
        <color rgb="FF000000"/>
        <rFont val="WenQuanYi Zen Hei"/>
        <family val="2"/>
      </rPr>
      <t xml:space="preserve">추가</t>
    </r>
  </si>
  <si>
    <t xml:space="preserve">시중노임 대비 적용 단가</t>
  </si>
  <si>
    <r>
      <rPr>
        <b val="true"/>
        <sz val="10"/>
        <color rgb="FFFFFFFF"/>
        <rFont val="WenQuanYi Zen Hei"/>
        <family val="2"/>
      </rPr>
      <t xml:space="preserve">직종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견적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</si>
  <si>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시중노임 직종</t>
  </si>
  <si>
    <r>
      <rPr>
        <b val="true"/>
        <sz val="10"/>
        <color rgb="FFFFFFFF"/>
        <rFont val="WenQuanYi Zen Hei"/>
        <family val="2"/>
      </rPr>
      <t xml:space="preserve">시중노임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</si>
  <si>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적용 단가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</si>
  <si>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배율</t>
  </si>
  <si>
    <t xml:space="preserve">플랜트용접공</t>
  </si>
  <si>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제관사</t>
    </r>
  </si>
  <si>
    <t xml:space="preserve">플랜트제관공</t>
  </si>
  <si>
    <t xml:space="preserve">특별인부</t>
  </si>
  <si>
    <t xml:space="preserve">보통인부</t>
  </si>
  <si>
    <t xml:space="preserve">비계공</t>
  </si>
  <si>
    <r>
      <rPr>
        <sz val="9"/>
        <color rgb="FF555555"/>
        <rFont val="WenQuanYi Zen Hei"/>
        <family val="2"/>
      </rPr>
      <t xml:space="preserve">시중노임은 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상반기 적용 건설업 임금실태조사 보고서</t>
    </r>
    <r>
      <rPr>
        <sz val="9"/>
        <color rgb="FF555555"/>
        <rFont val="맑은 고딕"/>
        <family val="0"/>
        <charset val="1"/>
      </rPr>
      <t xml:space="preserve">(2026.1.1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하반기 적용 조사</t>
    </r>
    <r>
      <rPr>
        <sz val="9"/>
        <color rgb="FF555555"/>
        <rFont val="맑은 고딕"/>
        <family val="0"/>
        <charset val="1"/>
      </rPr>
      <t xml:space="preserve">(2026.9.1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132</t>
    </r>
    <r>
      <rPr>
        <sz val="9"/>
        <color rgb="FF555555"/>
        <rFont val="WenQuanYi Zen Hei"/>
        <family val="2"/>
      </rPr>
      <t xml:space="preserve">개 직종 평균 </t>
    </r>
    <r>
      <rPr>
        <sz val="9"/>
        <color rgb="FF555555"/>
        <rFont val="맑은 고딕"/>
        <family val="0"/>
        <charset val="1"/>
      </rPr>
      <t xml:space="preserve">282,737</t>
    </r>
    <r>
      <rPr>
        <sz val="9"/>
        <color rgb="FF555555"/>
        <rFont val="WenQuanYi Zen Hei"/>
        <family val="2"/>
      </rPr>
      <t xml:space="preserve">원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직전 대비 </t>
    </r>
    <r>
      <rPr>
        <sz val="9"/>
        <color rgb="FF555555"/>
        <rFont val="맑은 고딕"/>
        <family val="0"/>
        <charset val="1"/>
      </rPr>
      <t xml:space="preserve">+0.98%. </t>
    </r>
    <r>
      <rPr>
        <sz val="9"/>
        <color rgb="FF555555"/>
        <rFont val="WenQuanYi Zen Hei"/>
        <family val="2"/>
      </rPr>
      <t xml:space="preserve">적용 단가는 숙련 기능공 현장 실거래 수준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사용자 지시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으로 시중노임보다 높게 적용함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</si>
  <si>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</si>
  <si>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</si>
  <si>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</si>
  <si>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</si>
  <si>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</si>
  <si>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r>
      <rPr>
        <sz val="10"/>
        <color rgb="FF000000"/>
        <rFont val="WenQuanYi Zen Hei"/>
        <family val="2"/>
      </rPr>
      <t xml:space="preserve">산재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고용보험 요율</t>
    </r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</si>
  <si>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</si>
  <si>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</si>
  <si>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</si>
  <si>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</si>
  <si>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r>
      <rPr>
        <sz val="10"/>
        <color rgb="FF000000"/>
        <rFont val="맑은 고딕"/>
        <family val="0"/>
        <charset val="1"/>
      </rPr>
      <t xml:space="preserve">2026 4</t>
    </r>
    <r>
      <rPr>
        <sz val="10"/>
        <color rgb="FF000000"/>
        <rFont val="WenQuanYi Zen Hei"/>
        <family val="2"/>
      </rPr>
      <t xml:space="preserve">대보험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</si>
  <si>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https://calctools.co.kr/blog/daily-worker-insurance</t>
  </si>
  <si>
    <t xml:space="preserve">화재감시자 기준</t>
  </si>
  <si>
    <r>
      <rPr>
        <sz val="9"/>
        <color rgb="FF0563C1"/>
        <rFont val="WenQuanYi Zen Hei"/>
        <family val="2"/>
      </rPr>
      <t xml:space="preserve">산업안전보건기준에 관한 규칙 제</t>
    </r>
    <r>
      <rPr>
        <sz val="9"/>
        <color rgb="FF0563C1"/>
        <rFont val="맑은 고딕"/>
        <family val="0"/>
        <charset val="1"/>
      </rPr>
      <t xml:space="preserve">241</t>
    </r>
    <r>
      <rPr>
        <sz val="9"/>
        <color rgb="FF0563C1"/>
        <rFont val="WenQuanYi Zen Hei"/>
        <family val="2"/>
      </rPr>
      <t xml:space="preserve">조의</t>
    </r>
    <r>
      <rPr>
        <sz val="9"/>
        <color rgb="FF0563C1"/>
        <rFont val="맑은 고딕"/>
        <family val="0"/>
        <charset val="1"/>
      </rPr>
      <t xml:space="preserve">2</t>
    </r>
  </si>
  <si>
    <r>
      <rPr>
        <sz val="9"/>
        <color rgb="FF555555"/>
        <rFont val="WenQuanYi Zen Hei"/>
        <family val="2"/>
      </rPr>
      <t xml:space="preserve">조사일 </t>
    </r>
    <r>
      <rPr>
        <sz val="9"/>
        <color rgb="FF555555"/>
        <rFont val="맑은 고딕"/>
        <family val="0"/>
        <charset val="1"/>
      </rPr>
      <t xml:space="preserve">2026-10-12. </t>
    </r>
    <r>
      <rPr>
        <sz val="9"/>
        <color rgb="FF555555"/>
        <rFont val="WenQuanYi Zen Hei"/>
        <family val="2"/>
      </rPr>
      <t xml:space="preserve">요율은 해마다 바뀌므로 계약 시점 고시로 재확인 필요함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</si>
</sst>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₩#,##0"/>
    <numFmt numFmtId="166" formatCode="#,##0;\-#,##0;\-"/>
    <numFmt numFmtId="167" formatCode="0.0%"/>
    <numFmt numFmtId="168" formatCode="General"/>
    <numFmt numFmtId="169" formatCode="#,##0"/>
    <numFmt numFmtId="170" formatCode="0.00%"/>
    <numFmt numFmtId="171" formatCode="0.0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WenQuanYi Zen Hei"/>
      <family val="2"/>
    </font>
    <font>
      <sz val="10"/>
      <color rgb="FF777777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9"/>
      <color rgb="FFAAAAAA"/>
      <name val="맑은 고딕"/>
      <family val="0"/>
      <charset val="1"/>
    </font>
    <font>
      <sz val="9"/>
      <color rgb="FFAAAAAA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4"/>
      <color rgb="FF0000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8"/>
      <color rgb="FF999999"/>
      <name val="WenQuanYi Zen Hei"/>
      <family val="2"/>
    </font>
    <font>
      <sz val="8"/>
      <color rgb="FF999999"/>
      <name val="맑은 고딕"/>
      <family val="0"/>
      <charset val="1"/>
    </font>
    <font>
      <b val="true"/>
      <sz val="18"/>
      <color rgb="FF000000"/>
      <name val="WenQuanYi Zen Hei"/>
      <family val="2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sz val="11"/>
      <color theme="1"/>
      <name val="WenQuanYi Zen Hei"/>
      <family val="2"/>
    </font>
    <font>
      <b val="true"/>
      <sz val="10"/>
      <color rgb="FF008000"/>
      <name val="맑은 고딕"/>
      <family val="0"/>
      <charset val="1"/>
    </font>
    <font>
      <b val="true"/>
      <sz val="14"/>
      <color rgb="FF000000"/>
      <name val="WenQuanYi Zen Hei"/>
      <family val="2"/>
    </font>
    <font>
      <b val="true"/>
      <sz val="11"/>
      <color rgb="FF000000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sz val="9"/>
      <color rgb="FF0563C1"/>
      <name val="맑은 고딕"/>
      <family val="0"/>
      <charset val="1"/>
    </font>
    <font>
      <sz val="9"/>
      <color rgb="FF0563C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777777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5" min="4" style="0" width="12"/>
    <col collapsed="false" customWidth="true" hidden="false" outlineLevel="0" max="7" min="6" style="0" width="8"/>
    <col collapsed="false" customWidth="true" hidden="false" outlineLevel="0" max="8" min="8" style="0" width="15"/>
    <col collapsed="false" customWidth="true" hidden="false" outlineLevel="0" max="9" min="9" style="0" width="26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5" customFormat="false" ht="24" hidden="false" customHeight="true" outlineLevel="0" collapsed="false">
      <c r="A5" s="3" t="s">
        <v>2</v>
      </c>
      <c r="B5" s="4" t="s">
        <v>3</v>
      </c>
      <c r="C5" s="4"/>
      <c r="D5" s="4"/>
      <c r="E5" s="4"/>
      <c r="G5" s="3" t="s">
        <v>4</v>
      </c>
      <c r="H5" s="5" t="s">
        <v>5</v>
      </c>
      <c r="I5" s="6" t="s">
        <v>6</v>
      </c>
    </row>
    <row r="6" customFormat="false" ht="24" hidden="false" customHeight="true" outlineLevel="0" collapsed="false">
      <c r="A6" s="3" t="s">
        <v>7</v>
      </c>
      <c r="B6" s="4" t="s">
        <v>8</v>
      </c>
      <c r="C6" s="4"/>
      <c r="D6" s="4"/>
      <c r="E6" s="4"/>
      <c r="G6" s="3"/>
      <c r="H6" s="5" t="s">
        <v>9</v>
      </c>
      <c r="I6" s="7" t="s">
        <v>10</v>
      </c>
    </row>
    <row r="7" customFormat="false" ht="24" hidden="false" customHeight="true" outlineLevel="0" collapsed="false">
      <c r="A7" s="3" t="s">
        <v>11</v>
      </c>
      <c r="B7" s="8" t="s">
        <v>12</v>
      </c>
      <c r="C7" s="8"/>
      <c r="D7" s="8"/>
      <c r="E7" s="8"/>
      <c r="G7" s="3"/>
      <c r="H7" s="5" t="s">
        <v>13</v>
      </c>
      <c r="I7" s="7"/>
    </row>
    <row r="8" customFormat="false" ht="24" hidden="false" customHeight="true" outlineLevel="0" collapsed="false">
      <c r="A8" s="3" t="s">
        <v>14</v>
      </c>
      <c r="B8" s="7"/>
      <c r="C8" s="7"/>
      <c r="D8" s="7"/>
      <c r="E8" s="7"/>
      <c r="G8" s="3"/>
      <c r="H8" s="5" t="s">
        <v>15</v>
      </c>
      <c r="I8" s="7"/>
    </row>
    <row r="9" customFormat="false" ht="24" hidden="false" customHeight="true" outlineLevel="0" collapsed="false">
      <c r="A9" s="3" t="s">
        <v>16</v>
      </c>
      <c r="B9" s="8" t="s">
        <v>17</v>
      </c>
      <c r="C9" s="8"/>
      <c r="D9" s="8"/>
      <c r="E9" s="8"/>
      <c r="G9" s="3"/>
      <c r="H9" s="5" t="s">
        <v>18</v>
      </c>
      <c r="I9" s="7"/>
    </row>
    <row r="10" customFormat="false" ht="24" hidden="false" customHeight="true" outlineLevel="0" collapsed="false">
      <c r="A10" s="3" t="s">
        <v>19</v>
      </c>
      <c r="B10" s="8" t="s">
        <v>20</v>
      </c>
      <c r="C10" s="8"/>
      <c r="D10" s="8"/>
      <c r="E10" s="8"/>
      <c r="G10" s="9" t="s">
        <v>21</v>
      </c>
      <c r="H10" s="9"/>
      <c r="I10" s="9"/>
    </row>
    <row r="11" customFormat="false" ht="24" hidden="false" customHeight="true" outlineLevel="0" collapsed="false">
      <c r="A11" s="3" t="s">
        <v>22</v>
      </c>
      <c r="B11" s="4" t="s">
        <v>23</v>
      </c>
      <c r="C11" s="4"/>
      <c r="D11" s="4"/>
      <c r="E11" s="4"/>
      <c r="G11" s="9"/>
      <c r="H11" s="9"/>
      <c r="I11" s="9"/>
    </row>
    <row r="12" customFormat="false" ht="24" hidden="false" customHeight="true" outlineLevel="0" collapsed="false">
      <c r="A12" s="3" t="s">
        <v>24</v>
      </c>
      <c r="B12" s="10" t="s">
        <v>25</v>
      </c>
      <c r="C12" s="10"/>
      <c r="D12" s="10"/>
      <c r="E12" s="10"/>
      <c r="G12" s="9"/>
      <c r="H12" s="9"/>
      <c r="I12" s="9"/>
    </row>
    <row r="13" customFormat="false" ht="24" hidden="false" customHeight="true" outlineLevel="0" collapsed="false">
      <c r="A13" s="3" t="s">
        <v>26</v>
      </c>
      <c r="B13" s="8" t="s">
        <v>27</v>
      </c>
      <c r="C13" s="8"/>
      <c r="D13" s="8"/>
      <c r="E13" s="8"/>
      <c r="G13" s="9"/>
      <c r="H13" s="9"/>
      <c r="I13" s="9"/>
    </row>
    <row r="15" customFormat="false" ht="14.15" hidden="false" customHeight="false" outlineLevel="0" collapsed="false">
      <c r="A15" s="11" t="s">
        <v>28</v>
      </c>
      <c r="B15" s="11"/>
      <c r="C15" s="11"/>
      <c r="D15" s="11"/>
      <c r="E15" s="11"/>
      <c r="F15" s="11"/>
      <c r="G15" s="11"/>
      <c r="H15" s="11"/>
      <c r="I15" s="11"/>
    </row>
    <row r="16" customFormat="false" ht="39.75" hidden="false" customHeight="true" outlineLevel="0" collapsed="false">
      <c r="A16" s="3" t="s">
        <v>29</v>
      </c>
      <c r="B16" s="3"/>
      <c r="C16" s="12" t="n">
        <f aca="false">원가계산서!E18</f>
        <v>75277400</v>
      </c>
      <c r="D16" s="12"/>
      <c r="E16" s="12"/>
      <c r="F16" s="12"/>
      <c r="G16" s="12"/>
      <c r="H16" s="12"/>
      <c r="I16" s="12"/>
    </row>
    <row r="18" customFormat="false" ht="15" hidden="false" customHeight="true" outlineLevel="0" collapsed="false">
      <c r="A18" s="13" t="s">
        <v>30</v>
      </c>
      <c r="B18" s="14" t="s">
        <v>31</v>
      </c>
      <c r="C18" s="14"/>
      <c r="D18" s="14" t="s">
        <v>32</v>
      </c>
      <c r="E18" s="14"/>
      <c r="F18" s="14"/>
      <c r="G18" s="14" t="s">
        <v>33</v>
      </c>
      <c r="H18" s="14" t="s">
        <v>34</v>
      </c>
      <c r="I18" s="14" t="s">
        <v>35</v>
      </c>
    </row>
    <row r="19" customFormat="false" ht="24" hidden="false" customHeight="true" outlineLevel="0" collapsed="false">
      <c r="A19" s="15" t="s">
        <v>36</v>
      </c>
      <c r="B19" s="16" t="s">
        <v>37</v>
      </c>
      <c r="C19" s="16"/>
      <c r="D19" s="8" t="s">
        <v>38</v>
      </c>
      <c r="E19" s="8"/>
      <c r="F19" s="8"/>
      <c r="G19" s="16" t="s">
        <v>39</v>
      </c>
      <c r="H19" s="17" t="n">
        <f aca="false">도비!$G$32</f>
        <v>23918000</v>
      </c>
      <c r="I19" s="8" t="s">
        <v>40</v>
      </c>
    </row>
    <row r="20" customFormat="false" ht="24" hidden="false" customHeight="true" outlineLevel="0" collapsed="false">
      <c r="A20" s="15" t="s">
        <v>41</v>
      </c>
      <c r="B20" s="16" t="s">
        <v>42</v>
      </c>
      <c r="C20" s="16"/>
      <c r="D20" s="8" t="s">
        <v>43</v>
      </c>
      <c r="E20" s="8"/>
      <c r="F20" s="8"/>
      <c r="G20" s="16" t="s">
        <v>39</v>
      </c>
      <c r="H20" s="17" t="n">
        <f aca="false">용접!$G$28</f>
        <v>24624000</v>
      </c>
      <c r="I20" s="8" t="s">
        <v>44</v>
      </c>
    </row>
    <row r="21" customFormat="false" ht="24" hidden="false" customHeight="true" outlineLevel="0" collapsed="false">
      <c r="A21" s="15" t="s">
        <v>45</v>
      </c>
      <c r="B21" s="16" t="s">
        <v>46</v>
      </c>
      <c r="C21" s="16"/>
      <c r="D21" s="8" t="s">
        <v>47</v>
      </c>
      <c r="E21" s="8"/>
      <c r="F21" s="8"/>
      <c r="G21" s="16" t="s">
        <v>39</v>
      </c>
      <c r="H21" s="17" t="n">
        <f aca="false">베이스!$G$33</f>
        <v>19892000</v>
      </c>
      <c r="I21" s="8" t="s">
        <v>48</v>
      </c>
    </row>
    <row r="22" customFormat="false" ht="24" hidden="false" customHeight="true" outlineLevel="0" collapsed="false">
      <c r="A22" s="3" t="s">
        <v>49</v>
      </c>
      <c r="B22" s="3"/>
      <c r="C22" s="3"/>
      <c r="D22" s="3"/>
      <c r="E22" s="3"/>
      <c r="F22" s="3"/>
      <c r="G22" s="3"/>
      <c r="H22" s="18" t="n">
        <f aca="false">SUM(H19:H21)</f>
        <v>68434000</v>
      </c>
      <c r="I22" s="19"/>
    </row>
    <row r="23" customFormat="false" ht="24" hidden="false" customHeight="true" outlineLevel="0" collapsed="false">
      <c r="A23" s="3" t="s">
        <v>50</v>
      </c>
      <c r="B23" s="3"/>
      <c r="C23" s="3"/>
      <c r="D23" s="3"/>
      <c r="E23" s="3"/>
      <c r="F23" s="3"/>
      <c r="G23" s="3"/>
      <c r="H23" s="18" t="n">
        <f aca="false">H22*0.1</f>
        <v>6843400</v>
      </c>
      <c r="I23" s="19"/>
    </row>
    <row r="24" customFormat="false" ht="24" hidden="false" customHeight="true" outlineLevel="0" collapsed="false">
      <c r="A24" s="20" t="s">
        <v>51</v>
      </c>
      <c r="B24" s="20"/>
      <c r="C24" s="20"/>
      <c r="D24" s="20"/>
      <c r="E24" s="20"/>
      <c r="F24" s="20"/>
      <c r="G24" s="20"/>
      <c r="H24" s="21" t="n">
        <f aca="false">H22+H23</f>
        <v>75277400</v>
      </c>
      <c r="I24" s="7"/>
    </row>
    <row r="26" customFormat="false" ht="15" hidden="false" customHeight="false" outlineLevel="0" collapsed="false">
      <c r="A26" s="22" t="s">
        <v>52</v>
      </c>
    </row>
    <row r="27" customFormat="false" ht="18" hidden="false" customHeight="true" outlineLevel="0" collapsed="false">
      <c r="A27" s="23" t="s">
        <v>53</v>
      </c>
      <c r="B27" s="23"/>
      <c r="C27" s="23"/>
      <c r="D27" s="23"/>
      <c r="E27" s="23"/>
      <c r="F27" s="23"/>
      <c r="G27" s="23"/>
      <c r="H27" s="23"/>
      <c r="I27" s="23"/>
    </row>
    <row r="28" customFormat="false" ht="18" hidden="false" customHeight="true" outlineLevel="0" collapsed="false">
      <c r="A28" s="23" t="s">
        <v>54</v>
      </c>
      <c r="B28" s="23"/>
      <c r="C28" s="23"/>
      <c r="D28" s="23"/>
      <c r="E28" s="23"/>
      <c r="F28" s="23"/>
      <c r="G28" s="23"/>
      <c r="H28" s="23"/>
      <c r="I28" s="23"/>
    </row>
    <row r="29" customFormat="false" ht="18" hidden="false" customHeight="true" outlineLevel="0" collapsed="false">
      <c r="A29" s="23" t="s">
        <v>55</v>
      </c>
      <c r="B29" s="23"/>
      <c r="C29" s="23"/>
      <c r="D29" s="23"/>
      <c r="E29" s="23"/>
      <c r="F29" s="23"/>
      <c r="G29" s="23"/>
      <c r="H29" s="23"/>
      <c r="I29" s="23"/>
    </row>
    <row r="30" customFormat="false" ht="18" hidden="false" customHeight="true" outlineLevel="0" collapsed="false">
      <c r="A30" s="23" t="s">
        <v>56</v>
      </c>
      <c r="B30" s="23"/>
      <c r="C30" s="23"/>
      <c r="D30" s="23"/>
      <c r="E30" s="23"/>
      <c r="F30" s="23"/>
      <c r="G30" s="23"/>
      <c r="H30" s="23"/>
      <c r="I30" s="23"/>
    </row>
    <row r="31" customFormat="false" ht="18" hidden="false" customHeight="true" outlineLevel="0" collapsed="false">
      <c r="A31" s="23" t="s">
        <v>57</v>
      </c>
      <c r="B31" s="23"/>
      <c r="C31" s="23"/>
      <c r="D31" s="23"/>
      <c r="E31" s="23"/>
      <c r="F31" s="23"/>
      <c r="G31" s="23"/>
      <c r="H31" s="23"/>
      <c r="I31" s="23"/>
    </row>
    <row r="32" customFormat="false" ht="18" hidden="false" customHeight="true" outlineLevel="0" collapsed="false">
      <c r="A32" s="23" t="s">
        <v>58</v>
      </c>
      <c r="B32" s="23"/>
      <c r="C32" s="23"/>
      <c r="D32" s="23"/>
      <c r="E32" s="23"/>
      <c r="F32" s="23"/>
      <c r="G32" s="23"/>
      <c r="H32" s="23"/>
      <c r="I32" s="23"/>
    </row>
    <row r="34" customFormat="false" ht="15" hidden="false" customHeight="false" outlineLevel="0" collapsed="false">
      <c r="A34" s="24" t="s">
        <v>59</v>
      </c>
    </row>
  </sheetData>
  <mergeCells count="33">
    <mergeCell ref="A1:I2"/>
    <mergeCell ref="A3:I3"/>
    <mergeCell ref="B5:E5"/>
    <mergeCell ref="G5:G9"/>
    <mergeCell ref="B6:E6"/>
    <mergeCell ref="B7:E7"/>
    <mergeCell ref="B8:E8"/>
    <mergeCell ref="B9:E9"/>
    <mergeCell ref="B10:E10"/>
    <mergeCell ref="G10:I13"/>
    <mergeCell ref="B11:E11"/>
    <mergeCell ref="B12:E12"/>
    <mergeCell ref="B13:E13"/>
    <mergeCell ref="A15:I15"/>
    <mergeCell ref="A16:B16"/>
    <mergeCell ref="C16:I16"/>
    <mergeCell ref="B18:C18"/>
    <mergeCell ref="D18:F18"/>
    <mergeCell ref="B19:C19"/>
    <mergeCell ref="D19:F19"/>
    <mergeCell ref="B20:C20"/>
    <mergeCell ref="D20:F20"/>
    <mergeCell ref="B21:C21"/>
    <mergeCell ref="D21:F21"/>
    <mergeCell ref="A22:G22"/>
    <mergeCell ref="A23:G23"/>
    <mergeCell ref="A24:G24"/>
    <mergeCell ref="A27:I27"/>
    <mergeCell ref="A28:I28"/>
    <mergeCell ref="A29:I29"/>
    <mergeCell ref="A30:I30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5" t="s">
        <v>60</v>
      </c>
      <c r="B1" s="25"/>
      <c r="C1" s="25"/>
      <c r="D1" s="25"/>
      <c r="E1" s="25"/>
      <c r="F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</row>
    <row r="3" customFormat="false" ht="15" hidden="false" customHeight="true" outlineLevel="0" collapsed="false">
      <c r="A3" s="26" t="s">
        <v>61</v>
      </c>
      <c r="B3" s="26"/>
      <c r="C3" s="26"/>
      <c r="D3" s="26"/>
      <c r="E3" s="26"/>
      <c r="F3" s="26"/>
    </row>
    <row r="5" customFormat="false" ht="15" hidden="false" customHeight="false" outlineLevel="0" collapsed="false">
      <c r="A5" s="14" t="s">
        <v>62</v>
      </c>
      <c r="B5" s="14" t="s">
        <v>63</v>
      </c>
      <c r="C5" s="14" t="s">
        <v>64</v>
      </c>
      <c r="D5" s="14" t="s">
        <v>65</v>
      </c>
      <c r="E5" s="14" t="s">
        <v>66</v>
      </c>
      <c r="F5" s="14" t="s">
        <v>67</v>
      </c>
    </row>
    <row r="6" customFormat="false" ht="21.75" hidden="false" customHeight="true" outlineLevel="0" collapsed="false">
      <c r="A6" s="27" t="s">
        <v>68</v>
      </c>
      <c r="B6" s="17" t="n">
        <f aca="false">도비!$G$22</f>
        <v>1380000</v>
      </c>
      <c r="C6" s="17" t="n">
        <f aca="false">용접!$G$18</f>
        <v>3680000</v>
      </c>
      <c r="D6" s="17" t="n">
        <f aca="false">베이스!$G$23</f>
        <v>9233700</v>
      </c>
      <c r="E6" s="28" t="n">
        <f aca="false">SUM(B6:D6)</f>
        <v>14293700</v>
      </c>
      <c r="F6" s="29" t="n">
        <f aca="false">E6/$E$16</f>
        <v>0.20886839874916</v>
      </c>
    </row>
    <row r="7" customFormat="false" ht="21.75" hidden="false" customHeight="true" outlineLevel="0" collapsed="false">
      <c r="A7" s="27" t="s">
        <v>69</v>
      </c>
      <c r="B7" s="17" t="n">
        <f aca="false">도비!$G$23</f>
        <v>6480000</v>
      </c>
      <c r="C7" s="17" t="n">
        <f aca="false">용접!$G$19</f>
        <v>9850000</v>
      </c>
      <c r="D7" s="17" t="n">
        <f aca="false">베이스!$G$24</f>
        <v>4950000</v>
      </c>
      <c r="E7" s="28" t="n">
        <f aca="false">SUM(B7:D7)</f>
        <v>21280000</v>
      </c>
      <c r="F7" s="29" t="n">
        <f aca="false">E7/$E$16</f>
        <v>0.310956542069731</v>
      </c>
    </row>
    <row r="8" customFormat="false" ht="21.75" hidden="false" customHeight="true" outlineLevel="0" collapsed="false">
      <c r="A8" s="27" t="s">
        <v>70</v>
      </c>
      <c r="B8" s="17" t="n">
        <f aca="false">도비!$G$24</f>
        <v>12070000</v>
      </c>
      <c r="C8" s="17" t="n">
        <f aca="false">용접!$G$20</f>
        <v>6900000</v>
      </c>
      <c r="D8" s="17" t="n">
        <f aca="false">베이스!$G$25</f>
        <v>3000000</v>
      </c>
      <c r="E8" s="28" t="n">
        <f aca="false">SUM(B8:D8)</f>
        <v>21970000</v>
      </c>
      <c r="F8" s="29" t="n">
        <f aca="false">E8/$E$16</f>
        <v>0.321039249495865</v>
      </c>
    </row>
    <row r="9" customFormat="false" ht="21.75" hidden="false" customHeight="true" outlineLevel="0" collapsed="false">
      <c r="A9" s="27" t="s">
        <v>71</v>
      </c>
      <c r="B9" s="17" t="n">
        <f aca="false">도비!$G$25</f>
        <v>230688</v>
      </c>
      <c r="C9" s="17" t="n">
        <f aca="false">용접!$G$21</f>
        <v>350660</v>
      </c>
      <c r="D9" s="17" t="n">
        <f aca="false">베이스!$G$26</f>
        <v>176220</v>
      </c>
      <c r="E9" s="28" t="n">
        <f aca="false">SUM(B9:D9)</f>
        <v>757568</v>
      </c>
      <c r="F9" s="29" t="n">
        <f aca="false">E9/$E$16</f>
        <v>0.0110700528976824</v>
      </c>
    </row>
    <row r="10" customFormat="false" ht="21.75" hidden="false" customHeight="true" outlineLevel="0" collapsed="false">
      <c r="A10" s="27" t="s">
        <v>72</v>
      </c>
      <c r="B10" s="17" t="n">
        <f aca="false">도비!$G$26</f>
        <v>74520</v>
      </c>
      <c r="C10" s="17" t="n">
        <f aca="false">용접!$G$22</f>
        <v>113275</v>
      </c>
      <c r="D10" s="17" t="n">
        <f aca="false">베이스!$G$27</f>
        <v>56925</v>
      </c>
      <c r="E10" s="28" t="n">
        <f aca="false">SUM(B10:D10)</f>
        <v>244720</v>
      </c>
      <c r="F10" s="29" t="n">
        <f aca="false">E10/$E$16</f>
        <v>0.00357600023380191</v>
      </c>
    </row>
    <row r="11" customFormat="false" ht="21.75" hidden="false" customHeight="true" outlineLevel="0" collapsed="false">
      <c r="A11" s="27" t="s">
        <v>73</v>
      </c>
      <c r="B11" s="17" t="n">
        <f aca="false">도비!$G$27</f>
        <v>244446</v>
      </c>
      <c r="C11" s="17" t="n">
        <f aca="false">용접!$G$23</f>
        <v>420783</v>
      </c>
      <c r="D11" s="17" t="n">
        <f aca="false">베이스!$G$28</f>
        <v>441113.07</v>
      </c>
      <c r="E11" s="28" t="n">
        <f aca="false">SUM(B11:D11)</f>
        <v>1106342.07</v>
      </c>
      <c r="F11" s="29" t="n">
        <f aca="false">E11/$E$16</f>
        <v>0.0161665556594675</v>
      </c>
    </row>
    <row r="12" customFormat="false" ht="21.75" hidden="false" customHeight="true" outlineLevel="0" collapsed="false">
      <c r="A12" s="3" t="s">
        <v>74</v>
      </c>
      <c r="B12" s="30" t="n">
        <f aca="false">도비!$G$28</f>
        <v>20479654</v>
      </c>
      <c r="C12" s="30" t="n">
        <f aca="false">용접!$G$24</f>
        <v>21314718</v>
      </c>
      <c r="D12" s="30" t="n">
        <f aca="false">베이스!$G$29</f>
        <v>17857958.07</v>
      </c>
      <c r="E12" s="18" t="n">
        <f aca="false">SUM(B12:D12)</f>
        <v>59652330.07</v>
      </c>
      <c r="F12" s="31" t="n">
        <f aca="false">E12/$E$16</f>
        <v>0.871676799105708</v>
      </c>
    </row>
    <row r="13" customFormat="false" ht="21.75" hidden="false" customHeight="true" outlineLevel="0" collapsed="false">
      <c r="A13" s="27" t="s">
        <v>75</v>
      </c>
      <c r="B13" s="17" t="n">
        <f aca="false">도비!$G$29</f>
        <v>1023982.7</v>
      </c>
      <c r="C13" s="17" t="n">
        <f aca="false">용접!$G$25</f>
        <v>1065735.9</v>
      </c>
      <c r="D13" s="17" t="n">
        <f aca="false">베이스!$G$30</f>
        <v>892897.9035</v>
      </c>
      <c r="E13" s="28" t="n">
        <f aca="false">SUM(B13:D13)</f>
        <v>2982616.5035</v>
      </c>
      <c r="F13" s="29" t="n">
        <f aca="false">E13/$E$16</f>
        <v>0.0435838399552854</v>
      </c>
    </row>
    <row r="14" customFormat="false" ht="21.75" hidden="false" customHeight="true" outlineLevel="0" collapsed="false">
      <c r="A14" s="27" t="s">
        <v>76</v>
      </c>
      <c r="B14" s="17" t="n">
        <f aca="false">도비!$G$30</f>
        <v>2414836.404</v>
      </c>
      <c r="C14" s="17" t="n">
        <f aca="false">용접!$G$26</f>
        <v>2244054.468</v>
      </c>
      <c r="D14" s="17" t="n">
        <f aca="false">베이스!$G$31</f>
        <v>1142058.71682</v>
      </c>
      <c r="E14" s="28" t="n">
        <f aca="false">SUM(B14:D14)</f>
        <v>5800949.58882</v>
      </c>
      <c r="F14" s="29" t="n">
        <f aca="false">E14/$E$16</f>
        <v>0.08476706883742</v>
      </c>
    </row>
    <row r="15" customFormat="false" ht="21.75" hidden="false" customHeight="true" outlineLevel="0" collapsed="false">
      <c r="A15" s="27" t="s">
        <v>77</v>
      </c>
      <c r="B15" s="17" t="n">
        <f aca="false">도비!$G$31</f>
        <v>-473.103999998421</v>
      </c>
      <c r="C15" s="17" t="n">
        <f aca="false">용접!$G$27</f>
        <v>-508.36799999699</v>
      </c>
      <c r="D15" s="17" t="n">
        <f aca="false">베이스!$G$32</f>
        <v>-914.690320000053</v>
      </c>
      <c r="E15" s="28" t="n">
        <f aca="false">SUM(B15:D15)</f>
        <v>-1896.16231999546</v>
      </c>
      <c r="F15" s="29" t="n">
        <f aca="false">E15/$E$16</f>
        <v>-2.77078984130032E-005</v>
      </c>
    </row>
    <row r="16" customFormat="false" ht="21.75" hidden="false" customHeight="true" outlineLevel="0" collapsed="false">
      <c r="A16" s="3" t="s">
        <v>34</v>
      </c>
      <c r="B16" s="30" t="n">
        <f aca="false">도비!$G$32</f>
        <v>23918000</v>
      </c>
      <c r="C16" s="30" t="n">
        <f aca="false">용접!$G$28</f>
        <v>24624000</v>
      </c>
      <c r="D16" s="30" t="n">
        <f aca="false">베이스!$G$33</f>
        <v>19892000</v>
      </c>
      <c r="E16" s="18" t="n">
        <f aca="false">SUM(B16:D16)</f>
        <v>68434000</v>
      </c>
      <c r="F16" s="31" t="n">
        <f aca="false">E16/$E$16</f>
        <v>1</v>
      </c>
    </row>
    <row r="17" customFormat="false" ht="15" hidden="false" customHeight="false" outlineLevel="0" collapsed="false">
      <c r="A17" s="16" t="s">
        <v>78</v>
      </c>
      <c r="B17" s="32"/>
      <c r="C17" s="32"/>
      <c r="D17" s="32"/>
      <c r="E17" s="32" t="n">
        <f aca="false">E16*0.1</f>
        <v>6843400</v>
      </c>
      <c r="F17" s="32"/>
    </row>
    <row r="18" customFormat="false" ht="15" hidden="false" customHeight="false" outlineLevel="0" collapsed="false">
      <c r="A18" s="20" t="s">
        <v>79</v>
      </c>
      <c r="B18" s="21"/>
      <c r="C18" s="21"/>
      <c r="D18" s="21"/>
      <c r="E18" s="21" t="n">
        <f aca="false">E16+E17</f>
        <v>75277400</v>
      </c>
      <c r="F18" s="21"/>
    </row>
    <row r="20" customFormat="false" ht="30" hidden="false" customHeight="true" outlineLevel="0" collapsed="false">
      <c r="A20" s="33" t="s">
        <v>80</v>
      </c>
      <c r="B20" s="33"/>
      <c r="C20" s="33"/>
      <c r="D20" s="33"/>
      <c r="E20" s="33"/>
      <c r="F20" s="33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9.4" hidden="false" customHeight="false" outlineLevel="0" collapsed="false">
      <c r="A1" s="34" t="s">
        <v>81</v>
      </c>
      <c r="B1" s="34"/>
      <c r="C1" s="34"/>
      <c r="D1" s="34"/>
      <c r="E1" s="34"/>
    </row>
    <row r="3" customFormat="false" ht="26.85" hidden="false" customHeight="false" outlineLevel="0" collapsed="false">
      <c r="A3" s="14" t="s">
        <v>82</v>
      </c>
      <c r="B3" s="13" t="s">
        <v>83</v>
      </c>
      <c r="C3" s="13" t="s">
        <v>84</v>
      </c>
      <c r="D3" s="14" t="s">
        <v>85</v>
      </c>
      <c r="E3" s="14" t="s">
        <v>35</v>
      </c>
    </row>
    <row r="4" customFormat="false" ht="30" hidden="false" customHeight="true" outlineLevel="0" collapsed="false">
      <c r="A4" s="8" t="s">
        <v>63</v>
      </c>
      <c r="B4" s="17" t="n">
        <f aca="false">도비!$G$32</f>
        <v>23918000</v>
      </c>
      <c r="C4" s="17" t="n">
        <f aca="false">B_도비!$G$36</f>
        <v>37056000</v>
      </c>
      <c r="D4" s="32" t="n">
        <f aca="false">C4-B4</f>
        <v>13138000</v>
      </c>
      <c r="E4" s="4" t="s">
        <v>86</v>
      </c>
    </row>
    <row r="5" customFormat="false" ht="30" hidden="false" customHeight="true" outlineLevel="0" collapsed="false">
      <c r="A5" s="8" t="s">
        <v>64</v>
      </c>
      <c r="B5" s="17" t="n">
        <f aca="false">용접!$G$28</f>
        <v>24624000</v>
      </c>
      <c r="C5" s="17" t="n">
        <f aca="false">B_용접!$G$28</f>
        <v>24624000</v>
      </c>
      <c r="D5" s="32" t="n">
        <f aca="false">C5-B5</f>
        <v>0</v>
      </c>
      <c r="E5" s="8" t="s">
        <v>87</v>
      </c>
    </row>
    <row r="6" customFormat="false" ht="30" hidden="false" customHeight="true" outlineLevel="0" collapsed="false">
      <c r="A6" s="8" t="s">
        <v>88</v>
      </c>
      <c r="B6" s="17" t="n">
        <f aca="false">베이스!$G$33</f>
        <v>19892000</v>
      </c>
      <c r="C6" s="17" t="n">
        <f aca="false">B_조방!$G$33</f>
        <v>11902000</v>
      </c>
      <c r="D6" s="32" t="n">
        <f aca="false">C6-B6</f>
        <v>-7990000</v>
      </c>
      <c r="E6" s="4" t="s">
        <v>89</v>
      </c>
    </row>
    <row r="7" customFormat="false" ht="30" hidden="false" customHeight="true" outlineLevel="0" collapsed="false">
      <c r="A7" s="35" t="s">
        <v>90</v>
      </c>
      <c r="B7" s="21" t="n">
        <f aca="false">SUM(B4:B6)</f>
        <v>68434000</v>
      </c>
      <c r="C7" s="21" t="n">
        <f aca="false">SUM(C4:C6)</f>
        <v>73582000</v>
      </c>
      <c r="D7" s="21" t="n">
        <f aca="false">SUM(D4:D6)</f>
        <v>5148000</v>
      </c>
      <c r="E7" s="7"/>
    </row>
    <row r="9" customFormat="false" ht="27.75" hidden="false" customHeight="true" outlineLevel="0" collapsed="false">
      <c r="A9" s="36" t="s">
        <v>91</v>
      </c>
      <c r="B9" s="36"/>
      <c r="C9" s="36"/>
      <c r="D9" s="36"/>
      <c r="E9" s="36"/>
    </row>
    <row r="10" customFormat="false" ht="27.75" hidden="false" customHeight="true" outlineLevel="0" collapsed="false">
      <c r="A10" s="36" t="s">
        <v>92</v>
      </c>
      <c r="B10" s="36"/>
      <c r="C10" s="36"/>
      <c r="D10" s="36"/>
      <c r="E10" s="36"/>
    </row>
    <row r="11" customFormat="false" ht="27.75" hidden="false" customHeight="true" outlineLevel="0" collapsed="false">
      <c r="A11" s="33" t="s">
        <v>93</v>
      </c>
      <c r="B11" s="33"/>
      <c r="C11" s="33"/>
      <c r="D11" s="33"/>
      <c r="E11" s="33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7" t="s">
        <v>94</v>
      </c>
    </row>
    <row r="2" customFormat="false" ht="15" hidden="false" customHeight="false" outlineLevel="0" collapsed="false">
      <c r="A2" s="38" t="s">
        <v>95</v>
      </c>
    </row>
    <row r="4" customFormat="false" ht="15" hidden="false" customHeight="false" outlineLevel="0" collapsed="false">
      <c r="A4" s="14" t="s">
        <v>96</v>
      </c>
      <c r="B4" s="14" t="s">
        <v>97</v>
      </c>
      <c r="C4" s="14" t="s">
        <v>98</v>
      </c>
      <c r="D4" s="14" t="s">
        <v>99</v>
      </c>
      <c r="E4" s="14" t="s">
        <v>100</v>
      </c>
      <c r="F4" s="14" t="s">
        <v>101</v>
      </c>
      <c r="G4" s="14" t="s">
        <v>102</v>
      </c>
    </row>
    <row r="5" customFormat="false" ht="26.85" hidden="false" customHeight="false" outlineLevel="0" collapsed="false">
      <c r="A5" s="8" t="s">
        <v>63</v>
      </c>
      <c r="B5" s="8" t="s">
        <v>103</v>
      </c>
      <c r="C5" s="8" t="s">
        <v>104</v>
      </c>
      <c r="D5" s="4" t="s">
        <v>105</v>
      </c>
      <c r="E5" s="39" t="n">
        <f aca="false">도비!G8</f>
        <v>4500000</v>
      </c>
      <c r="F5" s="8" t="s">
        <v>106</v>
      </c>
      <c r="G5" s="8" t="s">
        <v>107</v>
      </c>
    </row>
    <row r="6" customFormat="false" ht="15" hidden="false" customHeight="false" outlineLevel="0" collapsed="false">
      <c r="A6" s="8" t="s">
        <v>63</v>
      </c>
      <c r="B6" s="8" t="s">
        <v>108</v>
      </c>
      <c r="C6" s="8" t="s">
        <v>109</v>
      </c>
      <c r="D6" s="4" t="s">
        <v>110</v>
      </c>
      <c r="E6" s="39" t="n">
        <f aca="false">도비!G9</f>
        <v>520000</v>
      </c>
      <c r="F6" s="10" t="s">
        <v>111</v>
      </c>
      <c r="G6" s="8" t="s">
        <v>112</v>
      </c>
    </row>
    <row r="7" customFormat="false" ht="26.1" hidden="false" customHeight="false" outlineLevel="0" collapsed="false">
      <c r="A7" s="8" t="s">
        <v>63</v>
      </c>
      <c r="B7" s="8" t="s">
        <v>113</v>
      </c>
      <c r="C7" s="8" t="s">
        <v>114</v>
      </c>
      <c r="D7" s="4" t="s">
        <v>115</v>
      </c>
      <c r="E7" s="39" t="n">
        <f aca="false">도비!G10</f>
        <v>960000</v>
      </c>
      <c r="F7" s="10" t="s">
        <v>111</v>
      </c>
      <c r="G7" s="4"/>
    </row>
    <row r="8" customFormat="false" ht="15" hidden="false" customHeight="false" outlineLevel="0" collapsed="false">
      <c r="A8" s="8" t="s">
        <v>63</v>
      </c>
      <c r="B8" s="8" t="s">
        <v>116</v>
      </c>
      <c r="C8" s="4" t="s">
        <v>117</v>
      </c>
      <c r="D8" s="4" t="s">
        <v>118</v>
      </c>
      <c r="E8" s="39" t="n">
        <f aca="false">도비!G11</f>
        <v>2400000</v>
      </c>
      <c r="F8" s="8" t="s">
        <v>119</v>
      </c>
      <c r="G8" s="4"/>
    </row>
    <row r="9" customFormat="false" ht="15" hidden="false" customHeight="false" outlineLevel="0" collapsed="false">
      <c r="A9" s="8" t="s">
        <v>63</v>
      </c>
      <c r="B9" s="8" t="s">
        <v>116</v>
      </c>
      <c r="C9" s="4" t="s">
        <v>120</v>
      </c>
      <c r="D9" s="4" t="s">
        <v>121</v>
      </c>
      <c r="E9" s="39" t="n">
        <f aca="false">도비!G12</f>
        <v>1700000</v>
      </c>
      <c r="F9" s="8" t="s">
        <v>119</v>
      </c>
      <c r="G9" s="4"/>
    </row>
    <row r="10" customFormat="false" ht="15" hidden="false" customHeight="false" outlineLevel="0" collapsed="false">
      <c r="A10" s="8" t="s">
        <v>63</v>
      </c>
      <c r="B10" s="8" t="s">
        <v>122</v>
      </c>
      <c r="C10" s="4" t="s">
        <v>123</v>
      </c>
      <c r="D10" s="4" t="s">
        <v>124</v>
      </c>
      <c r="E10" s="39" t="n">
        <f aca="false">도비!G13</f>
        <v>640000</v>
      </c>
      <c r="F10" s="10" t="s">
        <v>111</v>
      </c>
      <c r="G10" s="4"/>
    </row>
    <row r="11" customFormat="false" ht="15" hidden="false" customHeight="false" outlineLevel="0" collapsed="false">
      <c r="A11" s="8" t="s">
        <v>63</v>
      </c>
      <c r="B11" s="8" t="s">
        <v>125</v>
      </c>
      <c r="C11" s="8" t="s">
        <v>126</v>
      </c>
      <c r="D11" s="4" t="s">
        <v>127</v>
      </c>
      <c r="E11" s="39" t="n">
        <f aca="false">도비!G14</f>
        <v>2000000</v>
      </c>
      <c r="F11" s="10" t="s">
        <v>111</v>
      </c>
      <c r="G11" s="4"/>
    </row>
    <row r="12" customFormat="false" ht="15" hidden="false" customHeight="false" outlineLevel="0" collapsed="false">
      <c r="A12" s="8" t="s">
        <v>63</v>
      </c>
      <c r="B12" s="8" t="s">
        <v>128</v>
      </c>
      <c r="C12" s="8" t="s">
        <v>129</v>
      </c>
      <c r="D12" s="4" t="s">
        <v>130</v>
      </c>
      <c r="E12" s="39" t="n">
        <f aca="false">도비!G15</f>
        <v>3000000</v>
      </c>
      <c r="F12" s="8" t="s">
        <v>131</v>
      </c>
      <c r="G12" s="4"/>
    </row>
    <row r="13" customFormat="false" ht="15" hidden="false" customHeight="false" outlineLevel="0" collapsed="false">
      <c r="A13" s="8" t="s">
        <v>63</v>
      </c>
      <c r="B13" s="8" t="s">
        <v>132</v>
      </c>
      <c r="C13" s="8" t="s">
        <v>133</v>
      </c>
      <c r="D13" s="4" t="s">
        <v>130</v>
      </c>
      <c r="E13" s="39" t="n">
        <f aca="false">도비!G16</f>
        <v>1000000</v>
      </c>
      <c r="F13" s="8" t="s">
        <v>131</v>
      </c>
      <c r="G13" s="4"/>
    </row>
    <row r="14" customFormat="false" ht="26.85" hidden="false" customHeight="false" outlineLevel="0" collapsed="false">
      <c r="A14" s="8" t="s">
        <v>63</v>
      </c>
      <c r="B14" s="8" t="s">
        <v>134</v>
      </c>
      <c r="C14" s="8" t="s">
        <v>135</v>
      </c>
      <c r="D14" s="8" t="s">
        <v>136</v>
      </c>
      <c r="E14" s="39" t="n">
        <f aca="false">도비!G17</f>
        <v>1210000</v>
      </c>
      <c r="F14" s="10" t="s">
        <v>137</v>
      </c>
      <c r="G14" s="4"/>
    </row>
    <row r="15" customFormat="false" ht="15" hidden="false" customHeight="false" outlineLevel="0" collapsed="false">
      <c r="A15" s="8" t="s">
        <v>63</v>
      </c>
      <c r="B15" s="8" t="s">
        <v>138</v>
      </c>
      <c r="C15" s="8" t="s">
        <v>139</v>
      </c>
      <c r="D15" s="4" t="s">
        <v>140</v>
      </c>
      <c r="E15" s="39" t="n">
        <f aca="false">도비!G18</f>
        <v>500000</v>
      </c>
      <c r="F15" s="8" t="s">
        <v>119</v>
      </c>
      <c r="G15" s="8" t="s">
        <v>141</v>
      </c>
    </row>
    <row r="16" customFormat="false" ht="15" hidden="false" customHeight="false" outlineLevel="0" collapsed="false">
      <c r="A16" s="8" t="s">
        <v>63</v>
      </c>
      <c r="B16" s="8" t="s">
        <v>142</v>
      </c>
      <c r="C16" s="4" t="s">
        <v>143</v>
      </c>
      <c r="D16" s="4" t="s">
        <v>144</v>
      </c>
      <c r="E16" s="39" t="n">
        <f aca="false">도비!G19</f>
        <v>520000</v>
      </c>
      <c r="F16" s="10" t="s">
        <v>111</v>
      </c>
      <c r="G16" s="4"/>
    </row>
    <row r="17" customFormat="false" ht="15" hidden="false" customHeight="false" outlineLevel="0" collapsed="false">
      <c r="A17" s="8" t="s">
        <v>63</v>
      </c>
      <c r="B17" s="8" t="s">
        <v>145</v>
      </c>
      <c r="C17" s="4"/>
      <c r="D17" s="4" t="s">
        <v>130</v>
      </c>
      <c r="E17" s="39" t="n">
        <f aca="false">도비!G20</f>
        <v>380000</v>
      </c>
      <c r="F17" s="10" t="s">
        <v>111</v>
      </c>
      <c r="G17" s="4"/>
    </row>
    <row r="18" customFormat="false" ht="15" hidden="false" customHeight="false" outlineLevel="0" collapsed="false">
      <c r="A18" s="8" t="s">
        <v>63</v>
      </c>
      <c r="B18" s="8" t="s">
        <v>70</v>
      </c>
      <c r="C18" s="8" t="s">
        <v>146</v>
      </c>
      <c r="D18" s="4" t="s">
        <v>147</v>
      </c>
      <c r="E18" s="39" t="n">
        <f aca="false">도비!G21</f>
        <v>600000</v>
      </c>
      <c r="F18" s="8" t="s">
        <v>119</v>
      </c>
      <c r="G18" s="4"/>
    </row>
    <row r="19" customFormat="false" ht="26.85" hidden="false" customHeight="false" outlineLevel="0" collapsed="false">
      <c r="A19" s="19"/>
      <c r="B19" s="40" t="s">
        <v>148</v>
      </c>
      <c r="C19" s="19"/>
      <c r="D19" s="19"/>
      <c r="E19" s="41" t="n">
        <f aca="false">도비!$G$32-SUM(도비!$G$22:$G$24)</f>
        <v>3988000</v>
      </c>
      <c r="F19" s="42" t="s">
        <v>149</v>
      </c>
      <c r="G19" s="19"/>
    </row>
    <row r="20" customFormat="false" ht="15" hidden="false" customHeight="false" outlineLevel="0" collapsed="false">
      <c r="A20" s="19"/>
      <c r="B20" s="40" t="s">
        <v>150</v>
      </c>
      <c r="C20" s="19"/>
      <c r="D20" s="19"/>
      <c r="E20" s="41" t="n">
        <f aca="false">도비!$G$32</f>
        <v>23918000</v>
      </c>
      <c r="F20" s="42" t="s">
        <v>151</v>
      </c>
      <c r="G20" s="19"/>
    </row>
    <row r="22" customFormat="false" ht="26.85" hidden="false" customHeight="false" outlineLevel="0" collapsed="false">
      <c r="A22" s="8" t="s">
        <v>64</v>
      </c>
      <c r="B22" s="8" t="s">
        <v>152</v>
      </c>
      <c r="C22" s="4" t="s">
        <v>153</v>
      </c>
      <c r="D22" s="4" t="s">
        <v>154</v>
      </c>
      <c r="E22" s="39" t="n">
        <f aca="false">용접!G8</f>
        <v>4500000</v>
      </c>
      <c r="F22" s="8" t="s">
        <v>155</v>
      </c>
      <c r="G22" s="8" t="s">
        <v>156</v>
      </c>
    </row>
    <row r="23" customFormat="false" ht="26.85" hidden="false" customHeight="false" outlineLevel="0" collapsed="false">
      <c r="A23" s="8" t="s">
        <v>64</v>
      </c>
      <c r="B23" s="8" t="s">
        <v>157</v>
      </c>
      <c r="C23" s="8" t="s">
        <v>158</v>
      </c>
      <c r="D23" s="4" t="s">
        <v>159</v>
      </c>
      <c r="E23" s="39" t="n">
        <f aca="false">용접!G9</f>
        <v>2100000</v>
      </c>
      <c r="F23" s="8" t="s">
        <v>155</v>
      </c>
      <c r="G23" s="8" t="s">
        <v>160</v>
      </c>
    </row>
    <row r="24" customFormat="false" ht="15" hidden="false" customHeight="false" outlineLevel="0" collapsed="false">
      <c r="A24" s="8" t="s">
        <v>64</v>
      </c>
      <c r="B24" s="8" t="s">
        <v>161</v>
      </c>
      <c r="C24" s="8" t="s">
        <v>162</v>
      </c>
      <c r="D24" s="4" t="s">
        <v>163</v>
      </c>
      <c r="E24" s="39" t="n">
        <f aca="false">용접!G10</f>
        <v>1200000</v>
      </c>
      <c r="F24" s="8" t="s">
        <v>164</v>
      </c>
      <c r="G24" s="8" t="s">
        <v>112</v>
      </c>
    </row>
    <row r="25" customFormat="false" ht="15" hidden="false" customHeight="false" outlineLevel="0" collapsed="false">
      <c r="A25" s="8" t="s">
        <v>64</v>
      </c>
      <c r="B25" s="8" t="s">
        <v>165</v>
      </c>
      <c r="C25" s="8" t="s">
        <v>166</v>
      </c>
      <c r="D25" s="4" t="s">
        <v>167</v>
      </c>
      <c r="E25" s="39" t="n">
        <f aca="false">용접!G11</f>
        <v>800000</v>
      </c>
      <c r="F25" s="8" t="s">
        <v>164</v>
      </c>
      <c r="G25" s="8" t="s">
        <v>141</v>
      </c>
    </row>
    <row r="26" customFormat="false" ht="26.85" hidden="false" customHeight="false" outlineLevel="0" collapsed="false">
      <c r="A26" s="8" t="s">
        <v>64</v>
      </c>
      <c r="B26" s="8" t="s">
        <v>168</v>
      </c>
      <c r="C26" s="8" t="s">
        <v>169</v>
      </c>
      <c r="D26" s="4" t="s">
        <v>170</v>
      </c>
      <c r="E26" s="39" t="n">
        <f aca="false">용접!G12</f>
        <v>1250000</v>
      </c>
      <c r="F26" s="10" t="s">
        <v>171</v>
      </c>
      <c r="G26" s="8" t="s">
        <v>112</v>
      </c>
    </row>
    <row r="27" customFormat="false" ht="15" hidden="false" customHeight="false" outlineLevel="0" collapsed="false">
      <c r="A27" s="8" t="s">
        <v>64</v>
      </c>
      <c r="B27" s="4" t="s">
        <v>172</v>
      </c>
      <c r="C27" s="4" t="s">
        <v>173</v>
      </c>
      <c r="D27" s="4" t="s">
        <v>174</v>
      </c>
      <c r="E27" s="39" t="n">
        <f aca="false">용접!G13</f>
        <v>3600000</v>
      </c>
      <c r="F27" s="8" t="s">
        <v>119</v>
      </c>
      <c r="G27" s="4"/>
    </row>
    <row r="28" customFormat="false" ht="15" hidden="false" customHeight="false" outlineLevel="0" collapsed="false">
      <c r="A28" s="8" t="s">
        <v>64</v>
      </c>
      <c r="B28" s="8" t="s">
        <v>175</v>
      </c>
      <c r="C28" s="8" t="s">
        <v>176</v>
      </c>
      <c r="D28" s="4" t="s">
        <v>130</v>
      </c>
      <c r="E28" s="39" t="n">
        <f aca="false">용접!G14</f>
        <v>800000</v>
      </c>
      <c r="F28" s="10" t="s">
        <v>111</v>
      </c>
      <c r="G28" s="4"/>
    </row>
    <row r="29" customFormat="false" ht="26.85" hidden="false" customHeight="false" outlineLevel="0" collapsed="false">
      <c r="A29" s="8" t="s">
        <v>64</v>
      </c>
      <c r="B29" s="8" t="s">
        <v>177</v>
      </c>
      <c r="C29" s="4" t="s">
        <v>178</v>
      </c>
      <c r="D29" s="4" t="s">
        <v>179</v>
      </c>
      <c r="E29" s="39" t="n">
        <f aca="false">용접!G15</f>
        <v>3680000</v>
      </c>
      <c r="F29" s="10" t="s">
        <v>111</v>
      </c>
      <c r="G29" s="4"/>
    </row>
    <row r="30" customFormat="false" ht="15" hidden="false" customHeight="false" outlineLevel="0" collapsed="false">
      <c r="A30" s="8" t="s">
        <v>64</v>
      </c>
      <c r="B30" s="8" t="s">
        <v>180</v>
      </c>
      <c r="C30" s="4"/>
      <c r="D30" s="4" t="s">
        <v>181</v>
      </c>
      <c r="E30" s="39" t="n">
        <f aca="false">용접!G16</f>
        <v>1000000</v>
      </c>
      <c r="F30" s="8" t="s">
        <v>119</v>
      </c>
      <c r="G30" s="4"/>
    </row>
    <row r="31" customFormat="false" ht="15" hidden="false" customHeight="false" outlineLevel="0" collapsed="false">
      <c r="A31" s="8" t="s">
        <v>64</v>
      </c>
      <c r="B31" s="8" t="s">
        <v>70</v>
      </c>
      <c r="C31" s="8" t="s">
        <v>182</v>
      </c>
      <c r="D31" s="4" t="s">
        <v>183</v>
      </c>
      <c r="E31" s="39" t="n">
        <f aca="false">용접!G17</f>
        <v>1500000</v>
      </c>
      <c r="F31" s="8" t="s">
        <v>119</v>
      </c>
      <c r="G31" s="4"/>
    </row>
    <row r="32" customFormat="false" ht="26.85" hidden="false" customHeight="false" outlineLevel="0" collapsed="false">
      <c r="A32" s="19"/>
      <c r="B32" s="40" t="s">
        <v>148</v>
      </c>
      <c r="C32" s="19"/>
      <c r="D32" s="19"/>
      <c r="E32" s="41" t="n">
        <f aca="false">용접!$G$28-SUM(용접!$G$18:$G$20)</f>
        <v>4194000</v>
      </c>
      <c r="F32" s="42" t="s">
        <v>149</v>
      </c>
      <c r="G32" s="19"/>
    </row>
    <row r="33" customFormat="false" ht="15" hidden="false" customHeight="false" outlineLevel="0" collapsed="false">
      <c r="A33" s="19"/>
      <c r="B33" s="40" t="s">
        <v>150</v>
      </c>
      <c r="C33" s="19"/>
      <c r="D33" s="19"/>
      <c r="E33" s="41" t="n">
        <f aca="false">용접!$G$28</f>
        <v>24624000</v>
      </c>
      <c r="F33" s="42" t="s">
        <v>184</v>
      </c>
      <c r="G33" s="19"/>
    </row>
    <row r="35" customFormat="false" ht="26.85" hidden="false" customHeight="false" outlineLevel="0" collapsed="false">
      <c r="A35" s="8" t="s">
        <v>65</v>
      </c>
      <c r="B35" s="4" t="s">
        <v>185</v>
      </c>
      <c r="C35" s="4" t="s">
        <v>186</v>
      </c>
      <c r="D35" s="4" t="s">
        <v>187</v>
      </c>
      <c r="E35" s="39" t="n">
        <f aca="false">베이스!G8</f>
        <v>6993700</v>
      </c>
      <c r="F35" s="8" t="s">
        <v>188</v>
      </c>
      <c r="G35" s="4"/>
    </row>
    <row r="36" customFormat="false" ht="15" hidden="false" customHeight="false" outlineLevel="0" collapsed="false">
      <c r="A36" s="8" t="s">
        <v>65</v>
      </c>
      <c r="B36" s="4" t="s">
        <v>189</v>
      </c>
      <c r="C36" s="4"/>
      <c r="D36" s="4" t="s">
        <v>130</v>
      </c>
      <c r="E36" s="39" t="n">
        <f aca="false">베이스!G9</f>
        <v>160000</v>
      </c>
      <c r="F36" s="8" t="s">
        <v>190</v>
      </c>
      <c r="G36" s="4"/>
    </row>
    <row r="37" customFormat="false" ht="15" hidden="false" customHeight="false" outlineLevel="0" collapsed="false">
      <c r="A37" s="8" t="s">
        <v>65</v>
      </c>
      <c r="B37" s="8" t="s">
        <v>191</v>
      </c>
      <c r="C37" s="4"/>
      <c r="D37" s="4" t="s">
        <v>130</v>
      </c>
      <c r="E37" s="39" t="n">
        <f aca="false">베이스!G10</f>
        <v>160000</v>
      </c>
      <c r="F37" s="10" t="s">
        <v>111</v>
      </c>
      <c r="G37" s="4"/>
    </row>
    <row r="38" customFormat="false" ht="15" hidden="false" customHeight="false" outlineLevel="0" collapsed="false">
      <c r="A38" s="8" t="s">
        <v>65</v>
      </c>
      <c r="B38" s="8" t="s">
        <v>177</v>
      </c>
      <c r="C38" s="8" t="s">
        <v>192</v>
      </c>
      <c r="D38" s="4" t="s">
        <v>130</v>
      </c>
      <c r="E38" s="39" t="n">
        <f aca="false">베이스!G11</f>
        <v>1000000</v>
      </c>
      <c r="F38" s="10" t="s">
        <v>111</v>
      </c>
      <c r="G38" s="4"/>
    </row>
    <row r="39" customFormat="false" ht="15" hidden="false" customHeight="false" outlineLevel="0" collapsed="false">
      <c r="A39" s="8" t="s">
        <v>65</v>
      </c>
      <c r="B39" s="8" t="s">
        <v>193</v>
      </c>
      <c r="C39" s="8" t="s">
        <v>194</v>
      </c>
      <c r="D39" s="4" t="s">
        <v>130</v>
      </c>
      <c r="E39" s="39" t="n">
        <f aca="false">베이스!G12</f>
        <v>500000</v>
      </c>
      <c r="F39" s="10" t="s">
        <v>111</v>
      </c>
      <c r="G39" s="4"/>
    </row>
    <row r="40" customFormat="false" ht="15" hidden="false" customHeight="false" outlineLevel="0" collapsed="false">
      <c r="A40" s="8" t="s">
        <v>65</v>
      </c>
      <c r="B40" s="8" t="s">
        <v>195</v>
      </c>
      <c r="C40" s="8" t="s">
        <v>196</v>
      </c>
      <c r="D40" s="4" t="s">
        <v>130</v>
      </c>
      <c r="E40" s="39" t="n">
        <f aca="false">베이스!G13</f>
        <v>420000</v>
      </c>
      <c r="F40" s="10" t="s">
        <v>111</v>
      </c>
      <c r="G40" s="4"/>
    </row>
    <row r="41" customFormat="false" ht="26.85" hidden="false" customHeight="false" outlineLevel="0" collapsed="false">
      <c r="A41" s="8" t="s">
        <v>65</v>
      </c>
      <c r="B41" s="8" t="s">
        <v>197</v>
      </c>
      <c r="C41" s="8" t="s">
        <v>198</v>
      </c>
      <c r="D41" s="4" t="s">
        <v>159</v>
      </c>
      <c r="E41" s="39" t="n">
        <f aca="false">베이스!G14</f>
        <v>2100000</v>
      </c>
      <c r="F41" s="10" t="s">
        <v>199</v>
      </c>
      <c r="G41" s="8" t="s">
        <v>160</v>
      </c>
    </row>
    <row r="42" customFormat="false" ht="26.85" hidden="false" customHeight="false" outlineLevel="0" collapsed="false">
      <c r="A42" s="8" t="s">
        <v>65</v>
      </c>
      <c r="B42" s="8" t="s">
        <v>152</v>
      </c>
      <c r="C42" s="8" t="s">
        <v>200</v>
      </c>
      <c r="D42" s="4" t="s">
        <v>201</v>
      </c>
      <c r="E42" s="39" t="n">
        <f aca="false">베이스!G15</f>
        <v>1500000</v>
      </c>
      <c r="F42" s="10" t="s">
        <v>199</v>
      </c>
      <c r="G42" s="8" t="s">
        <v>156</v>
      </c>
    </row>
    <row r="43" customFormat="false" ht="15" hidden="false" customHeight="false" outlineLevel="0" collapsed="false">
      <c r="A43" s="8" t="s">
        <v>65</v>
      </c>
      <c r="B43" s="8" t="s">
        <v>165</v>
      </c>
      <c r="C43" s="8" t="s">
        <v>202</v>
      </c>
      <c r="D43" s="4" t="s">
        <v>203</v>
      </c>
      <c r="E43" s="39" t="n">
        <f aca="false">베이스!G16</f>
        <v>600000</v>
      </c>
      <c r="F43" s="10" t="s">
        <v>199</v>
      </c>
      <c r="G43" s="8" t="s">
        <v>141</v>
      </c>
    </row>
    <row r="44" customFormat="false" ht="26.85" hidden="false" customHeight="false" outlineLevel="0" collapsed="false">
      <c r="A44" s="8" t="s">
        <v>65</v>
      </c>
      <c r="B44" s="8" t="s">
        <v>168</v>
      </c>
      <c r="C44" s="8" t="s">
        <v>204</v>
      </c>
      <c r="D44" s="4" t="s">
        <v>205</v>
      </c>
      <c r="E44" s="39" t="n">
        <f aca="false">베이스!G17</f>
        <v>750000</v>
      </c>
      <c r="F44" s="10" t="s">
        <v>171</v>
      </c>
      <c r="G44" s="8" t="s">
        <v>112</v>
      </c>
    </row>
    <row r="45" customFormat="false" ht="15" hidden="false" customHeight="false" outlineLevel="0" collapsed="false">
      <c r="A45" s="8" t="s">
        <v>65</v>
      </c>
      <c r="B45" s="8" t="s">
        <v>206</v>
      </c>
      <c r="C45" s="8" t="s">
        <v>207</v>
      </c>
      <c r="D45" s="4" t="s">
        <v>208</v>
      </c>
      <c r="E45" s="39" t="n">
        <f aca="false">베이스!G18</f>
        <v>600000</v>
      </c>
      <c r="F45" s="8" t="s">
        <v>119</v>
      </c>
      <c r="G45" s="4"/>
    </row>
    <row r="46" customFormat="false" ht="15" hidden="false" customHeight="false" outlineLevel="0" collapsed="false">
      <c r="A46" s="8" t="s">
        <v>65</v>
      </c>
      <c r="B46" s="8" t="s">
        <v>206</v>
      </c>
      <c r="C46" s="8" t="s">
        <v>209</v>
      </c>
      <c r="D46" s="4" t="s">
        <v>210</v>
      </c>
      <c r="E46" s="39" t="n">
        <f aca="false">베이스!G19</f>
        <v>300000</v>
      </c>
      <c r="F46" s="8" t="s">
        <v>211</v>
      </c>
      <c r="G46" s="4"/>
    </row>
    <row r="47" customFormat="false" ht="15" hidden="false" customHeight="false" outlineLevel="0" collapsed="false">
      <c r="A47" s="8" t="s">
        <v>65</v>
      </c>
      <c r="B47" s="4" t="s">
        <v>172</v>
      </c>
      <c r="C47" s="4" t="s">
        <v>173</v>
      </c>
      <c r="D47" s="4" t="s">
        <v>212</v>
      </c>
      <c r="E47" s="39" t="n">
        <f aca="false">베이스!G20</f>
        <v>1200000</v>
      </c>
      <c r="F47" s="8" t="s">
        <v>211</v>
      </c>
      <c r="G47" s="4"/>
    </row>
    <row r="48" customFormat="false" ht="15" hidden="false" customHeight="false" outlineLevel="0" collapsed="false">
      <c r="A48" s="8" t="s">
        <v>65</v>
      </c>
      <c r="B48" s="8" t="s">
        <v>213</v>
      </c>
      <c r="C48" s="8" t="s">
        <v>214</v>
      </c>
      <c r="D48" s="4" t="s">
        <v>130</v>
      </c>
      <c r="E48" s="39" t="n">
        <f aca="false">베이스!G21</f>
        <v>300000</v>
      </c>
      <c r="F48" s="10" t="s">
        <v>111</v>
      </c>
      <c r="G48" s="4"/>
    </row>
    <row r="49" customFormat="false" ht="15" hidden="false" customHeight="false" outlineLevel="0" collapsed="false">
      <c r="A49" s="8" t="s">
        <v>65</v>
      </c>
      <c r="B49" s="8" t="s">
        <v>70</v>
      </c>
      <c r="C49" s="8" t="s">
        <v>146</v>
      </c>
      <c r="D49" s="4" t="s">
        <v>147</v>
      </c>
      <c r="E49" s="39" t="n">
        <f aca="false">베이스!G22</f>
        <v>600000</v>
      </c>
      <c r="F49" s="8" t="s">
        <v>119</v>
      </c>
      <c r="G49" s="4"/>
    </row>
    <row r="50" customFormat="false" ht="26.85" hidden="false" customHeight="false" outlineLevel="0" collapsed="false">
      <c r="A50" s="19"/>
      <c r="B50" s="40" t="s">
        <v>148</v>
      </c>
      <c r="C50" s="19"/>
      <c r="D50" s="19"/>
      <c r="E50" s="41" t="n">
        <f aca="false">베이스!$G$33-SUM(베이스!$G$23:$G$25)</f>
        <v>2708300</v>
      </c>
      <c r="F50" s="42" t="s">
        <v>149</v>
      </c>
      <c r="G50" s="19"/>
    </row>
    <row r="51" customFormat="false" ht="15" hidden="false" customHeight="false" outlineLevel="0" collapsed="false">
      <c r="A51" s="19"/>
      <c r="B51" s="40" t="s">
        <v>150</v>
      </c>
      <c r="C51" s="19"/>
      <c r="D51" s="19"/>
      <c r="E51" s="41" t="n">
        <f aca="false">베이스!$G$33</f>
        <v>19892000</v>
      </c>
      <c r="F51" s="42" t="s">
        <v>215</v>
      </c>
      <c r="G51" s="19"/>
    </row>
    <row r="53" customFormat="false" ht="39.55" hidden="false" customHeight="false" outlineLevel="0" collapsed="false">
      <c r="A53" s="4" t="s">
        <v>216</v>
      </c>
      <c r="B53" s="8" t="s">
        <v>103</v>
      </c>
      <c r="C53" s="8" t="s">
        <v>217</v>
      </c>
      <c r="D53" s="4" t="s">
        <v>218</v>
      </c>
      <c r="E53" s="39" t="n">
        <f aca="false">B_도비!G8</f>
        <v>7500000</v>
      </c>
      <c r="F53" s="8" t="s">
        <v>219</v>
      </c>
      <c r="G53" s="8" t="s">
        <v>107</v>
      </c>
    </row>
    <row r="54" customFormat="false" ht="15" hidden="false" customHeight="false" outlineLevel="0" collapsed="false">
      <c r="A54" s="4" t="s">
        <v>216</v>
      </c>
      <c r="B54" s="8" t="s">
        <v>108</v>
      </c>
      <c r="C54" s="8" t="s">
        <v>109</v>
      </c>
      <c r="D54" s="4" t="s">
        <v>220</v>
      </c>
      <c r="E54" s="39" t="n">
        <f aca="false">B_도비!G9</f>
        <v>1040000</v>
      </c>
      <c r="F54" s="10" t="s">
        <v>111</v>
      </c>
      <c r="G54" s="8" t="s">
        <v>112</v>
      </c>
    </row>
    <row r="55" customFormat="false" ht="26.1" hidden="false" customHeight="false" outlineLevel="0" collapsed="false">
      <c r="A55" s="4" t="s">
        <v>216</v>
      </c>
      <c r="B55" s="8" t="s">
        <v>113</v>
      </c>
      <c r="C55" s="8" t="s">
        <v>221</v>
      </c>
      <c r="D55" s="4" t="s">
        <v>115</v>
      </c>
      <c r="E55" s="39" t="n">
        <f aca="false">B_도비!G10</f>
        <v>960000</v>
      </c>
      <c r="F55" s="10" t="s">
        <v>111</v>
      </c>
      <c r="G55" s="4"/>
    </row>
    <row r="56" customFormat="false" ht="15" hidden="false" customHeight="false" outlineLevel="0" collapsed="false">
      <c r="A56" s="4" t="s">
        <v>216</v>
      </c>
      <c r="B56" s="8" t="s">
        <v>116</v>
      </c>
      <c r="C56" s="4" t="s">
        <v>222</v>
      </c>
      <c r="D56" s="4" t="s">
        <v>118</v>
      </c>
      <c r="E56" s="39" t="n">
        <f aca="false">B_도비!G11</f>
        <v>2400000</v>
      </c>
      <c r="F56" s="8" t="s">
        <v>119</v>
      </c>
      <c r="G56" s="4"/>
    </row>
    <row r="57" customFormat="false" ht="15" hidden="false" customHeight="false" outlineLevel="0" collapsed="false">
      <c r="A57" s="4" t="s">
        <v>216</v>
      </c>
      <c r="B57" s="8" t="s">
        <v>116</v>
      </c>
      <c r="C57" s="4" t="s">
        <v>223</v>
      </c>
      <c r="D57" s="4" t="s">
        <v>121</v>
      </c>
      <c r="E57" s="39" t="n">
        <f aca="false">B_도비!G12</f>
        <v>1700000</v>
      </c>
      <c r="F57" s="8" t="s">
        <v>119</v>
      </c>
      <c r="G57" s="4"/>
    </row>
    <row r="58" customFormat="false" ht="15" hidden="false" customHeight="false" outlineLevel="0" collapsed="false">
      <c r="A58" s="4" t="s">
        <v>216</v>
      </c>
      <c r="B58" s="8" t="s">
        <v>116</v>
      </c>
      <c r="C58" s="4" t="s">
        <v>224</v>
      </c>
      <c r="D58" s="4" t="s">
        <v>225</v>
      </c>
      <c r="E58" s="39" t="n">
        <f aca="false">B_도비!G13</f>
        <v>3500000</v>
      </c>
      <c r="F58" s="8" t="s">
        <v>226</v>
      </c>
      <c r="G58" s="4"/>
    </row>
    <row r="59" customFormat="false" ht="26.85" hidden="false" customHeight="false" outlineLevel="0" collapsed="false">
      <c r="A59" s="4" t="s">
        <v>216</v>
      </c>
      <c r="B59" s="4" t="s">
        <v>227</v>
      </c>
      <c r="C59" s="8" t="s">
        <v>228</v>
      </c>
      <c r="D59" s="4" t="s">
        <v>130</v>
      </c>
      <c r="E59" s="39" t="n">
        <f aca="false">B_도비!G14</f>
        <v>1200000</v>
      </c>
      <c r="F59" s="10" t="s">
        <v>111</v>
      </c>
      <c r="G59" s="4"/>
    </row>
    <row r="60" customFormat="false" ht="15" hidden="false" customHeight="false" outlineLevel="0" collapsed="false">
      <c r="A60" s="4" t="s">
        <v>216</v>
      </c>
      <c r="B60" s="8" t="s">
        <v>116</v>
      </c>
      <c r="C60" s="4" t="s">
        <v>229</v>
      </c>
      <c r="D60" s="4" t="s">
        <v>118</v>
      </c>
      <c r="E60" s="39" t="n">
        <f aca="false">B_도비!G15</f>
        <v>2400000</v>
      </c>
      <c r="F60" s="8" t="s">
        <v>119</v>
      </c>
      <c r="G60" s="4"/>
    </row>
    <row r="61" customFormat="false" ht="15" hidden="false" customHeight="false" outlineLevel="0" collapsed="false">
      <c r="A61" s="4" t="s">
        <v>216</v>
      </c>
      <c r="B61" s="8" t="s">
        <v>230</v>
      </c>
      <c r="C61" s="4" t="s">
        <v>231</v>
      </c>
      <c r="D61" s="4" t="s">
        <v>130</v>
      </c>
      <c r="E61" s="39" t="n">
        <f aca="false">B_도비!G16</f>
        <v>800000</v>
      </c>
      <c r="F61" s="10" t="s">
        <v>111</v>
      </c>
      <c r="G61" s="4"/>
    </row>
    <row r="62" customFormat="false" ht="15" hidden="false" customHeight="false" outlineLevel="0" collapsed="false">
      <c r="A62" s="4" t="s">
        <v>216</v>
      </c>
      <c r="B62" s="8" t="s">
        <v>122</v>
      </c>
      <c r="C62" s="4" t="s">
        <v>123</v>
      </c>
      <c r="D62" s="4" t="s">
        <v>232</v>
      </c>
      <c r="E62" s="39" t="n">
        <f aca="false">B_도비!G17</f>
        <v>1280000</v>
      </c>
      <c r="F62" s="10" t="s">
        <v>111</v>
      </c>
      <c r="G62" s="4"/>
    </row>
    <row r="63" customFormat="false" ht="15" hidden="false" customHeight="false" outlineLevel="0" collapsed="false">
      <c r="A63" s="4" t="s">
        <v>216</v>
      </c>
      <c r="B63" s="8" t="s">
        <v>128</v>
      </c>
      <c r="C63" s="8" t="s">
        <v>129</v>
      </c>
      <c r="D63" s="4" t="s">
        <v>130</v>
      </c>
      <c r="E63" s="39" t="n">
        <f aca="false">B_도비!G18</f>
        <v>3000000</v>
      </c>
      <c r="F63" s="8" t="s">
        <v>131</v>
      </c>
      <c r="G63" s="4"/>
    </row>
    <row r="64" customFormat="false" ht="26.85" hidden="false" customHeight="false" outlineLevel="0" collapsed="false">
      <c r="A64" s="4" t="s">
        <v>216</v>
      </c>
      <c r="B64" s="8" t="s">
        <v>233</v>
      </c>
      <c r="C64" s="8" t="s">
        <v>234</v>
      </c>
      <c r="D64" s="4" t="s">
        <v>130</v>
      </c>
      <c r="E64" s="39" t="n">
        <f aca="false">B_도비!G19</f>
        <v>900000</v>
      </c>
      <c r="F64" s="10" t="s">
        <v>111</v>
      </c>
      <c r="G64" s="4"/>
    </row>
    <row r="65" customFormat="false" ht="15" hidden="false" customHeight="false" outlineLevel="0" collapsed="false">
      <c r="A65" s="4" t="s">
        <v>216</v>
      </c>
      <c r="B65" s="8" t="s">
        <v>132</v>
      </c>
      <c r="C65" s="8" t="s">
        <v>235</v>
      </c>
      <c r="D65" s="4" t="s">
        <v>130</v>
      </c>
      <c r="E65" s="39" t="n">
        <f aca="false">B_도비!G20</f>
        <v>1000000</v>
      </c>
      <c r="F65" s="8" t="s">
        <v>131</v>
      </c>
      <c r="G65" s="4"/>
    </row>
    <row r="66" customFormat="false" ht="26.85" hidden="false" customHeight="false" outlineLevel="0" collapsed="false">
      <c r="A66" s="4" t="s">
        <v>216</v>
      </c>
      <c r="B66" s="8" t="s">
        <v>134</v>
      </c>
      <c r="C66" s="8" t="s">
        <v>135</v>
      </c>
      <c r="D66" s="4" t="s">
        <v>236</v>
      </c>
      <c r="E66" s="39" t="n">
        <f aca="false">B_도비!G21</f>
        <v>1210000</v>
      </c>
      <c r="F66" s="10" t="s">
        <v>137</v>
      </c>
      <c r="G66" s="4"/>
    </row>
    <row r="67" customFormat="false" ht="15" hidden="false" customHeight="false" outlineLevel="0" collapsed="false">
      <c r="A67" s="4" t="s">
        <v>216</v>
      </c>
      <c r="B67" s="8" t="s">
        <v>138</v>
      </c>
      <c r="C67" s="8" t="s">
        <v>139</v>
      </c>
      <c r="D67" s="4" t="s">
        <v>140</v>
      </c>
      <c r="E67" s="39" t="n">
        <f aca="false">B_도비!G22</f>
        <v>500000</v>
      </c>
      <c r="F67" s="8" t="s">
        <v>119</v>
      </c>
      <c r="G67" s="8" t="s">
        <v>141</v>
      </c>
    </row>
    <row r="68" customFormat="false" ht="15" hidden="false" customHeight="false" outlineLevel="0" collapsed="false">
      <c r="A68" s="4" t="s">
        <v>216</v>
      </c>
      <c r="B68" s="8" t="s">
        <v>142</v>
      </c>
      <c r="C68" s="4" t="s">
        <v>143</v>
      </c>
      <c r="D68" s="4" t="s">
        <v>144</v>
      </c>
      <c r="E68" s="39" t="n">
        <f aca="false">B_도비!G23</f>
        <v>520000</v>
      </c>
      <c r="F68" s="10" t="s">
        <v>111</v>
      </c>
      <c r="G68" s="4"/>
    </row>
    <row r="69" customFormat="false" ht="15" hidden="false" customHeight="false" outlineLevel="0" collapsed="false">
      <c r="A69" s="4" t="s">
        <v>216</v>
      </c>
      <c r="B69" s="8" t="s">
        <v>145</v>
      </c>
      <c r="C69" s="4"/>
      <c r="D69" s="4" t="s">
        <v>130</v>
      </c>
      <c r="E69" s="39" t="n">
        <f aca="false">B_도비!G24</f>
        <v>380000</v>
      </c>
      <c r="F69" s="10" t="s">
        <v>111</v>
      </c>
      <c r="G69" s="4"/>
    </row>
    <row r="70" customFormat="false" ht="15" hidden="false" customHeight="false" outlineLevel="0" collapsed="false">
      <c r="A70" s="4" t="s">
        <v>216</v>
      </c>
      <c r="B70" s="8" t="s">
        <v>70</v>
      </c>
      <c r="C70" s="8" t="s">
        <v>146</v>
      </c>
      <c r="D70" s="4" t="s">
        <v>147</v>
      </c>
      <c r="E70" s="39" t="n">
        <f aca="false">B_도비!G25</f>
        <v>600000</v>
      </c>
      <c r="F70" s="8" t="s">
        <v>119</v>
      </c>
      <c r="G70" s="4"/>
    </row>
    <row r="71" customFormat="false" ht="26.85" hidden="false" customHeight="false" outlineLevel="0" collapsed="false">
      <c r="A71" s="19"/>
      <c r="B71" s="40" t="s">
        <v>148</v>
      </c>
      <c r="C71" s="19"/>
      <c r="D71" s="19"/>
      <c r="E71" s="41" t="n">
        <f aca="false">B_도비!$G$36-SUM(B_도비!$G$26:B26)</f>
        <v>34776000</v>
      </c>
      <c r="F71" s="42" t="s">
        <v>149</v>
      </c>
      <c r="G71" s="19"/>
    </row>
    <row r="72" customFormat="false" ht="15" hidden="false" customHeight="false" outlineLevel="0" collapsed="false">
      <c r="A72" s="19"/>
      <c r="B72" s="40" t="s">
        <v>150</v>
      </c>
      <c r="C72" s="19"/>
      <c r="D72" s="19"/>
      <c r="E72" s="41" t="n">
        <f aca="false">B_도비!$G$36</f>
        <v>37056000</v>
      </c>
      <c r="F72" s="19" t="s">
        <v>237</v>
      </c>
      <c r="G72" s="19"/>
    </row>
    <row r="74" customFormat="false" ht="26.85" hidden="false" customHeight="false" outlineLevel="0" collapsed="false">
      <c r="A74" s="4" t="s">
        <v>238</v>
      </c>
      <c r="B74" s="8" t="s">
        <v>152</v>
      </c>
      <c r="C74" s="4" t="s">
        <v>153</v>
      </c>
      <c r="D74" s="4" t="s">
        <v>154</v>
      </c>
      <c r="E74" s="39" t="n">
        <f aca="false">B_용접!G8</f>
        <v>4500000</v>
      </c>
      <c r="F74" s="8" t="s">
        <v>155</v>
      </c>
      <c r="G74" s="8" t="s">
        <v>156</v>
      </c>
    </row>
    <row r="75" customFormat="false" ht="26.85" hidden="false" customHeight="false" outlineLevel="0" collapsed="false">
      <c r="A75" s="4" t="s">
        <v>238</v>
      </c>
      <c r="B75" s="8" t="s">
        <v>157</v>
      </c>
      <c r="C75" s="8" t="s">
        <v>158</v>
      </c>
      <c r="D75" s="4" t="s">
        <v>159</v>
      </c>
      <c r="E75" s="39" t="n">
        <f aca="false">B_용접!G9</f>
        <v>2100000</v>
      </c>
      <c r="F75" s="8" t="s">
        <v>155</v>
      </c>
      <c r="G75" s="8" t="s">
        <v>160</v>
      </c>
    </row>
    <row r="76" customFormat="false" ht="15" hidden="false" customHeight="false" outlineLevel="0" collapsed="false">
      <c r="A76" s="4" t="s">
        <v>238</v>
      </c>
      <c r="B76" s="8" t="s">
        <v>161</v>
      </c>
      <c r="C76" s="8" t="s">
        <v>162</v>
      </c>
      <c r="D76" s="4" t="s">
        <v>163</v>
      </c>
      <c r="E76" s="39" t="n">
        <f aca="false">B_용접!G10</f>
        <v>1200000</v>
      </c>
      <c r="F76" s="8" t="s">
        <v>164</v>
      </c>
      <c r="G76" s="8" t="s">
        <v>112</v>
      </c>
    </row>
    <row r="77" customFormat="false" ht="15" hidden="false" customHeight="false" outlineLevel="0" collapsed="false">
      <c r="A77" s="4" t="s">
        <v>238</v>
      </c>
      <c r="B77" s="8" t="s">
        <v>165</v>
      </c>
      <c r="C77" s="8" t="s">
        <v>166</v>
      </c>
      <c r="D77" s="4" t="s">
        <v>167</v>
      </c>
      <c r="E77" s="39" t="n">
        <f aca="false">B_용접!G11</f>
        <v>800000</v>
      </c>
      <c r="F77" s="8" t="s">
        <v>164</v>
      </c>
      <c r="G77" s="8" t="s">
        <v>141</v>
      </c>
    </row>
    <row r="78" customFormat="false" ht="26.85" hidden="false" customHeight="false" outlineLevel="0" collapsed="false">
      <c r="A78" s="4" t="s">
        <v>238</v>
      </c>
      <c r="B78" s="8" t="s">
        <v>168</v>
      </c>
      <c r="C78" s="8" t="s">
        <v>169</v>
      </c>
      <c r="D78" s="4" t="s">
        <v>170</v>
      </c>
      <c r="E78" s="39" t="n">
        <f aca="false">B_용접!G12</f>
        <v>1250000</v>
      </c>
      <c r="F78" s="10" t="s">
        <v>171</v>
      </c>
      <c r="G78" s="8" t="s">
        <v>112</v>
      </c>
    </row>
    <row r="79" customFormat="false" ht="15" hidden="false" customHeight="false" outlineLevel="0" collapsed="false">
      <c r="A79" s="4" t="s">
        <v>238</v>
      </c>
      <c r="B79" s="4" t="s">
        <v>172</v>
      </c>
      <c r="C79" s="4" t="s">
        <v>173</v>
      </c>
      <c r="D79" s="4" t="s">
        <v>174</v>
      </c>
      <c r="E79" s="39" t="n">
        <f aca="false">B_용접!G13</f>
        <v>3600000</v>
      </c>
      <c r="F79" s="8" t="s">
        <v>119</v>
      </c>
      <c r="G79" s="4"/>
    </row>
    <row r="80" customFormat="false" ht="15" hidden="false" customHeight="false" outlineLevel="0" collapsed="false">
      <c r="A80" s="4" t="s">
        <v>238</v>
      </c>
      <c r="B80" s="8" t="s">
        <v>175</v>
      </c>
      <c r="C80" s="8" t="s">
        <v>176</v>
      </c>
      <c r="D80" s="4" t="s">
        <v>130</v>
      </c>
      <c r="E80" s="39" t="n">
        <f aca="false">B_용접!G14</f>
        <v>800000</v>
      </c>
      <c r="F80" s="10" t="s">
        <v>111</v>
      </c>
      <c r="G80" s="4"/>
    </row>
    <row r="81" customFormat="false" ht="26.85" hidden="false" customHeight="false" outlineLevel="0" collapsed="false">
      <c r="A81" s="4" t="s">
        <v>238</v>
      </c>
      <c r="B81" s="8" t="s">
        <v>177</v>
      </c>
      <c r="C81" s="4" t="s">
        <v>178</v>
      </c>
      <c r="D81" s="4" t="s">
        <v>179</v>
      </c>
      <c r="E81" s="39" t="n">
        <f aca="false">B_용접!G15</f>
        <v>3680000</v>
      </c>
      <c r="F81" s="10" t="s">
        <v>111</v>
      </c>
      <c r="G81" s="4"/>
    </row>
    <row r="82" customFormat="false" ht="15" hidden="false" customHeight="false" outlineLevel="0" collapsed="false">
      <c r="A82" s="4" t="s">
        <v>238</v>
      </c>
      <c r="B82" s="8" t="s">
        <v>180</v>
      </c>
      <c r="C82" s="4"/>
      <c r="D82" s="4" t="s">
        <v>181</v>
      </c>
      <c r="E82" s="39" t="n">
        <f aca="false">B_용접!G16</f>
        <v>1000000</v>
      </c>
      <c r="F82" s="8" t="s">
        <v>119</v>
      </c>
      <c r="G82" s="4"/>
    </row>
    <row r="83" customFormat="false" ht="15" hidden="false" customHeight="false" outlineLevel="0" collapsed="false">
      <c r="A83" s="4" t="s">
        <v>238</v>
      </c>
      <c r="B83" s="8" t="s">
        <v>70</v>
      </c>
      <c r="C83" s="8" t="s">
        <v>182</v>
      </c>
      <c r="D83" s="4" t="s">
        <v>183</v>
      </c>
      <c r="E83" s="39" t="n">
        <f aca="false">B_용접!G17</f>
        <v>1500000</v>
      </c>
      <c r="F83" s="8" t="s">
        <v>119</v>
      </c>
      <c r="G83" s="4"/>
    </row>
    <row r="84" customFormat="false" ht="26.85" hidden="false" customHeight="false" outlineLevel="0" collapsed="false">
      <c r="A84" s="19"/>
      <c r="B84" s="40" t="s">
        <v>148</v>
      </c>
      <c r="C84" s="19"/>
      <c r="D84" s="19"/>
      <c r="E84" s="41" t="n">
        <f aca="false">B_용접!$G$28-SUM(B_용접!$G$18:B18)</f>
        <v>20944000</v>
      </c>
      <c r="F84" s="42" t="s">
        <v>149</v>
      </c>
      <c r="G84" s="19"/>
    </row>
    <row r="85" customFormat="false" ht="15" hidden="false" customHeight="false" outlineLevel="0" collapsed="false">
      <c r="A85" s="19"/>
      <c r="B85" s="40" t="s">
        <v>150</v>
      </c>
      <c r="C85" s="19"/>
      <c r="D85" s="19"/>
      <c r="E85" s="41" t="n">
        <f aca="false">B_용접!$G$28</f>
        <v>24624000</v>
      </c>
      <c r="F85" s="19" t="s">
        <v>237</v>
      </c>
      <c r="G85" s="19"/>
    </row>
    <row r="87" customFormat="false" ht="26.85" hidden="false" customHeight="false" outlineLevel="0" collapsed="false">
      <c r="A87" s="4" t="s">
        <v>239</v>
      </c>
      <c r="B87" s="8" t="s">
        <v>240</v>
      </c>
      <c r="C87" s="4" t="s">
        <v>241</v>
      </c>
      <c r="D87" s="4" t="s">
        <v>242</v>
      </c>
      <c r="E87" s="39" t="n">
        <f aca="false">B_조방!G8</f>
        <v>873600</v>
      </c>
      <c r="F87" s="10" t="s">
        <v>111</v>
      </c>
      <c r="G87" s="4"/>
    </row>
    <row r="88" customFormat="false" ht="15" hidden="false" customHeight="false" outlineLevel="0" collapsed="false">
      <c r="A88" s="4" t="s">
        <v>239</v>
      </c>
      <c r="B88" s="8" t="s">
        <v>243</v>
      </c>
      <c r="C88" s="8" t="s">
        <v>244</v>
      </c>
      <c r="D88" s="4" t="s">
        <v>245</v>
      </c>
      <c r="E88" s="39" t="n">
        <f aca="false">B_조방!G9</f>
        <v>320000</v>
      </c>
      <c r="F88" s="8" t="s">
        <v>246</v>
      </c>
      <c r="G88" s="4"/>
    </row>
    <row r="89" customFormat="false" ht="15" hidden="false" customHeight="false" outlineLevel="0" collapsed="false">
      <c r="A89" s="4" t="s">
        <v>239</v>
      </c>
      <c r="B89" s="8" t="s">
        <v>177</v>
      </c>
      <c r="C89" s="8" t="s">
        <v>192</v>
      </c>
      <c r="D89" s="4" t="s">
        <v>130</v>
      </c>
      <c r="E89" s="39" t="n">
        <f aca="false">B_조방!G10</f>
        <v>420000</v>
      </c>
      <c r="F89" s="10" t="s">
        <v>111</v>
      </c>
      <c r="G89" s="4"/>
    </row>
    <row r="90" customFormat="false" ht="15" hidden="false" customHeight="false" outlineLevel="0" collapsed="false">
      <c r="A90" s="4" t="s">
        <v>239</v>
      </c>
      <c r="B90" s="8" t="s">
        <v>195</v>
      </c>
      <c r="C90" s="8" t="s">
        <v>196</v>
      </c>
      <c r="D90" s="4" t="s">
        <v>130</v>
      </c>
      <c r="E90" s="39" t="n">
        <f aca="false">B_조방!G11</f>
        <v>230000</v>
      </c>
      <c r="F90" s="10" t="s">
        <v>111</v>
      </c>
      <c r="G90" s="4"/>
    </row>
    <row r="91" customFormat="false" ht="15" hidden="false" customHeight="false" outlineLevel="0" collapsed="false">
      <c r="A91" s="4" t="s">
        <v>239</v>
      </c>
      <c r="B91" s="8" t="s">
        <v>247</v>
      </c>
      <c r="C91" s="8" t="s">
        <v>248</v>
      </c>
      <c r="D91" s="4" t="s">
        <v>130</v>
      </c>
      <c r="E91" s="39" t="n">
        <f aca="false">B_조방!G12</f>
        <v>380000</v>
      </c>
      <c r="F91" s="10" t="s">
        <v>111</v>
      </c>
      <c r="G91" s="4"/>
    </row>
    <row r="92" customFormat="false" ht="26.85" hidden="false" customHeight="false" outlineLevel="0" collapsed="false">
      <c r="A92" s="4" t="s">
        <v>239</v>
      </c>
      <c r="B92" s="8" t="s">
        <v>197</v>
      </c>
      <c r="C92" s="8" t="s">
        <v>249</v>
      </c>
      <c r="D92" s="4" t="s">
        <v>250</v>
      </c>
      <c r="E92" s="39" t="n">
        <f aca="false">B_조방!G13</f>
        <v>700000</v>
      </c>
      <c r="F92" s="10" t="s">
        <v>111</v>
      </c>
      <c r="G92" s="8" t="s">
        <v>160</v>
      </c>
    </row>
    <row r="93" customFormat="false" ht="26.85" hidden="false" customHeight="false" outlineLevel="0" collapsed="false">
      <c r="A93" s="4" t="s">
        <v>239</v>
      </c>
      <c r="B93" s="8" t="s">
        <v>152</v>
      </c>
      <c r="C93" s="8" t="s">
        <v>251</v>
      </c>
      <c r="D93" s="4" t="s">
        <v>252</v>
      </c>
      <c r="E93" s="39" t="n">
        <f aca="false">B_조방!G14</f>
        <v>1000000</v>
      </c>
      <c r="F93" s="10" t="s">
        <v>111</v>
      </c>
      <c r="G93" s="8" t="s">
        <v>156</v>
      </c>
    </row>
    <row r="94" customFormat="false" ht="15" hidden="false" customHeight="false" outlineLevel="0" collapsed="false">
      <c r="A94" s="4" t="s">
        <v>239</v>
      </c>
      <c r="B94" s="8" t="s">
        <v>165</v>
      </c>
      <c r="C94" s="8" t="s">
        <v>253</v>
      </c>
      <c r="D94" s="4" t="s">
        <v>254</v>
      </c>
      <c r="E94" s="39" t="n">
        <f aca="false">B_조방!G15</f>
        <v>400000</v>
      </c>
      <c r="F94" s="10" t="s">
        <v>111</v>
      </c>
      <c r="G94" s="8" t="s">
        <v>141</v>
      </c>
    </row>
    <row r="95" customFormat="false" ht="15" hidden="false" customHeight="false" outlineLevel="0" collapsed="false">
      <c r="A95" s="4" t="s">
        <v>239</v>
      </c>
      <c r="B95" s="8" t="s">
        <v>168</v>
      </c>
      <c r="C95" s="8" t="s">
        <v>255</v>
      </c>
      <c r="D95" s="4" t="s">
        <v>256</v>
      </c>
      <c r="E95" s="39" t="n">
        <f aca="false">B_조방!G16</f>
        <v>250000</v>
      </c>
      <c r="F95" s="10" t="s">
        <v>111</v>
      </c>
      <c r="G95" s="8" t="s">
        <v>112</v>
      </c>
    </row>
    <row r="96" customFormat="false" ht="26.85" hidden="false" customHeight="false" outlineLevel="0" collapsed="false">
      <c r="A96" s="4" t="s">
        <v>239</v>
      </c>
      <c r="B96" s="8" t="s">
        <v>197</v>
      </c>
      <c r="C96" s="8" t="s">
        <v>257</v>
      </c>
      <c r="D96" s="4" t="s">
        <v>258</v>
      </c>
      <c r="E96" s="39" t="n">
        <f aca="false">B_조방!G17</f>
        <v>1400000</v>
      </c>
      <c r="F96" s="10" t="s">
        <v>259</v>
      </c>
      <c r="G96" s="8" t="s">
        <v>160</v>
      </c>
    </row>
    <row r="97" customFormat="false" ht="15" hidden="false" customHeight="false" outlineLevel="0" collapsed="false">
      <c r="A97" s="4" t="s">
        <v>239</v>
      </c>
      <c r="B97" s="8" t="s">
        <v>165</v>
      </c>
      <c r="C97" s="8" t="s">
        <v>260</v>
      </c>
      <c r="D97" s="4" t="s">
        <v>167</v>
      </c>
      <c r="E97" s="39" t="n">
        <f aca="false">B_조방!G18</f>
        <v>800000</v>
      </c>
      <c r="F97" s="10" t="s">
        <v>111</v>
      </c>
      <c r="G97" s="8" t="s">
        <v>141</v>
      </c>
    </row>
    <row r="98" customFormat="false" ht="26.85" hidden="false" customHeight="false" outlineLevel="0" collapsed="false">
      <c r="A98" s="4" t="s">
        <v>239</v>
      </c>
      <c r="B98" s="8" t="s">
        <v>261</v>
      </c>
      <c r="C98" s="8" t="s">
        <v>262</v>
      </c>
      <c r="D98" s="4" t="s">
        <v>258</v>
      </c>
      <c r="E98" s="39" t="n">
        <f aca="false">B_조방!G19</f>
        <v>1400000</v>
      </c>
      <c r="F98" s="10" t="s">
        <v>263</v>
      </c>
      <c r="G98" s="8" t="s">
        <v>264</v>
      </c>
    </row>
    <row r="99" customFormat="false" ht="15" hidden="false" customHeight="false" outlineLevel="0" collapsed="false">
      <c r="A99" s="4" t="s">
        <v>239</v>
      </c>
      <c r="B99" s="4" t="s">
        <v>172</v>
      </c>
      <c r="C99" s="4" t="s">
        <v>173</v>
      </c>
      <c r="D99" s="4" t="s">
        <v>265</v>
      </c>
      <c r="E99" s="39" t="n">
        <f aca="false">B_조방!G20</f>
        <v>800000</v>
      </c>
      <c r="F99" s="8" t="s">
        <v>211</v>
      </c>
      <c r="G99" s="4"/>
    </row>
    <row r="100" customFormat="false" ht="15" hidden="false" customHeight="false" outlineLevel="0" collapsed="false">
      <c r="A100" s="4" t="s">
        <v>239</v>
      </c>
      <c r="B100" s="8" t="s">
        <v>213</v>
      </c>
      <c r="C100" s="8" t="s">
        <v>214</v>
      </c>
      <c r="D100" s="4" t="s">
        <v>130</v>
      </c>
      <c r="E100" s="39" t="n">
        <f aca="false">B_조방!G21</f>
        <v>240000</v>
      </c>
      <c r="F100" s="10" t="s">
        <v>111</v>
      </c>
      <c r="G100" s="4"/>
    </row>
    <row r="101" customFormat="false" ht="15" hidden="false" customHeight="false" outlineLevel="0" collapsed="false">
      <c r="A101" s="4" t="s">
        <v>239</v>
      </c>
      <c r="B101" s="8" t="s">
        <v>70</v>
      </c>
      <c r="C101" s="8" t="s">
        <v>146</v>
      </c>
      <c r="D101" s="4" t="s">
        <v>147</v>
      </c>
      <c r="E101" s="39" t="n">
        <f aca="false">B_조방!G22</f>
        <v>600000</v>
      </c>
      <c r="F101" s="8" t="s">
        <v>119</v>
      </c>
      <c r="G101" s="4"/>
    </row>
    <row r="102" customFormat="false" ht="26.85" hidden="false" customHeight="false" outlineLevel="0" collapsed="false">
      <c r="A102" s="19"/>
      <c r="B102" s="40" t="s">
        <v>148</v>
      </c>
      <c r="C102" s="19"/>
      <c r="D102" s="19"/>
      <c r="E102" s="41" t="n">
        <f aca="false">B_조방!$G$33-SUM(B_조방!$G$23:B23)</f>
        <v>9678400</v>
      </c>
      <c r="F102" s="42" t="s">
        <v>149</v>
      </c>
      <c r="G102" s="19"/>
    </row>
    <row r="103" customFormat="false" ht="15" hidden="false" customHeight="false" outlineLevel="0" collapsed="false">
      <c r="A103" s="19"/>
      <c r="B103" s="40" t="s">
        <v>150</v>
      </c>
      <c r="C103" s="19"/>
      <c r="D103" s="19"/>
      <c r="E103" s="41" t="n">
        <f aca="false">B_조방!$G$33</f>
        <v>11902000</v>
      </c>
      <c r="F103" s="19" t="s">
        <v>237</v>
      </c>
      <c r="G103" s="19"/>
    </row>
    <row r="105" customFormat="false" ht="15" hidden="false" customHeight="false" outlineLevel="0" collapsed="false">
      <c r="A105" s="38" t="s">
        <v>266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269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270</v>
      </c>
      <c r="F7" s="14" t="s">
        <v>271</v>
      </c>
      <c r="G7" s="14" t="s">
        <v>272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103</v>
      </c>
      <c r="C8" s="8" t="s">
        <v>104</v>
      </c>
      <c r="D8" s="16" t="s">
        <v>273</v>
      </c>
      <c r="E8" s="44" t="n">
        <v>15</v>
      </c>
      <c r="F8" s="44" t="n">
        <v>300000</v>
      </c>
      <c r="G8" s="32" t="n">
        <f aca="false">E8*F8</f>
        <v>4500000</v>
      </c>
      <c r="H8" s="8" t="s">
        <v>274</v>
      </c>
      <c r="I8" s="16" t="s">
        <v>69</v>
      </c>
    </row>
    <row r="9" customFormat="false" ht="19.5" hidden="false" customHeight="true" outlineLevel="0" collapsed="false">
      <c r="A9" s="16"/>
      <c r="B9" s="16" t="s">
        <v>108</v>
      </c>
      <c r="C9" s="8" t="s">
        <v>109</v>
      </c>
      <c r="D9" s="16" t="s">
        <v>273</v>
      </c>
      <c r="E9" s="44" t="n">
        <v>2</v>
      </c>
      <c r="F9" s="44" t="n">
        <v>260000</v>
      </c>
      <c r="G9" s="32" t="n">
        <f aca="false">E9*F9</f>
        <v>520000</v>
      </c>
      <c r="H9" s="4" t="s">
        <v>275</v>
      </c>
      <c r="I9" s="16" t="s">
        <v>69</v>
      </c>
    </row>
    <row r="10" customFormat="false" ht="19.5" hidden="false" customHeight="true" outlineLevel="0" collapsed="false">
      <c r="A10" s="16"/>
      <c r="B10" s="16" t="s">
        <v>113</v>
      </c>
      <c r="C10" s="8" t="s">
        <v>114</v>
      </c>
      <c r="D10" s="16" t="s">
        <v>273</v>
      </c>
      <c r="E10" s="44" t="n">
        <v>3</v>
      </c>
      <c r="F10" s="44" t="n">
        <v>320000</v>
      </c>
      <c r="G10" s="32" t="n">
        <f aca="false">E10*F10</f>
        <v>960000</v>
      </c>
      <c r="H10" s="4" t="s">
        <v>276</v>
      </c>
      <c r="I10" s="16" t="s">
        <v>69</v>
      </c>
    </row>
    <row r="11" customFormat="false" ht="19.5" hidden="false" customHeight="true" outlineLevel="0" collapsed="false">
      <c r="A11" s="16" t="s">
        <v>277</v>
      </c>
      <c r="B11" s="16" t="s">
        <v>116</v>
      </c>
      <c r="C11" s="4" t="s">
        <v>117</v>
      </c>
      <c r="D11" s="16" t="s">
        <v>278</v>
      </c>
      <c r="E11" s="44" t="n">
        <v>1</v>
      </c>
      <c r="F11" s="44" t="n">
        <v>2400000</v>
      </c>
      <c r="G11" s="32" t="n">
        <f aca="false">E11*F11</f>
        <v>2400000</v>
      </c>
      <c r="H11" s="8" t="s">
        <v>279</v>
      </c>
      <c r="I11" s="16" t="s">
        <v>70</v>
      </c>
    </row>
    <row r="12" customFormat="false" ht="19.5" hidden="false" customHeight="true" outlineLevel="0" collapsed="false">
      <c r="A12" s="16"/>
      <c r="B12" s="16" t="s">
        <v>116</v>
      </c>
      <c r="C12" s="4" t="s">
        <v>120</v>
      </c>
      <c r="D12" s="16" t="s">
        <v>278</v>
      </c>
      <c r="E12" s="44" t="n">
        <v>1</v>
      </c>
      <c r="F12" s="44" t="n">
        <v>1700000</v>
      </c>
      <c r="G12" s="32" t="n">
        <f aca="false">E12*F12</f>
        <v>1700000</v>
      </c>
      <c r="H12" s="8" t="s">
        <v>279</v>
      </c>
      <c r="I12" s="16" t="s">
        <v>70</v>
      </c>
    </row>
    <row r="13" customFormat="false" ht="19.5" hidden="false" customHeight="true" outlineLevel="0" collapsed="false">
      <c r="A13" s="16"/>
      <c r="B13" s="16" t="s">
        <v>122</v>
      </c>
      <c r="C13" s="4" t="s">
        <v>123</v>
      </c>
      <c r="D13" s="16" t="s">
        <v>39</v>
      </c>
      <c r="E13" s="44" t="n">
        <v>1</v>
      </c>
      <c r="F13" s="44" t="n">
        <v>640000</v>
      </c>
      <c r="G13" s="32" t="n">
        <f aca="false">E13*F13</f>
        <v>640000</v>
      </c>
      <c r="H13" s="8" t="s">
        <v>280</v>
      </c>
      <c r="I13" s="16" t="s">
        <v>70</v>
      </c>
    </row>
    <row r="14" customFormat="false" ht="19.5" hidden="false" customHeight="true" outlineLevel="0" collapsed="false">
      <c r="A14" s="16"/>
      <c r="B14" s="16" t="s">
        <v>125</v>
      </c>
      <c r="C14" s="8" t="s">
        <v>126</v>
      </c>
      <c r="D14" s="15" t="s">
        <v>281</v>
      </c>
      <c r="E14" s="44" t="n">
        <v>1</v>
      </c>
      <c r="F14" s="44" t="n">
        <v>2000000</v>
      </c>
      <c r="G14" s="32" t="n">
        <f aca="false">E14*F14</f>
        <v>2000000</v>
      </c>
      <c r="H14" s="8" t="s">
        <v>282</v>
      </c>
      <c r="I14" s="16" t="s">
        <v>70</v>
      </c>
    </row>
    <row r="15" customFormat="false" ht="19.5" hidden="false" customHeight="true" outlineLevel="0" collapsed="false">
      <c r="A15" s="16"/>
      <c r="B15" s="16" t="s">
        <v>128</v>
      </c>
      <c r="C15" s="8" t="s">
        <v>129</v>
      </c>
      <c r="D15" s="15" t="s">
        <v>281</v>
      </c>
      <c r="E15" s="44" t="n">
        <v>1</v>
      </c>
      <c r="F15" s="44" t="n">
        <v>3000000</v>
      </c>
      <c r="G15" s="32" t="n">
        <f aca="false">E15*F15</f>
        <v>3000000</v>
      </c>
      <c r="H15" s="4"/>
      <c r="I15" s="16" t="s">
        <v>70</v>
      </c>
    </row>
    <row r="16" customFormat="false" ht="19.5" hidden="false" customHeight="true" outlineLevel="0" collapsed="false">
      <c r="A16" s="16" t="s">
        <v>68</v>
      </c>
      <c r="B16" s="16" t="s">
        <v>132</v>
      </c>
      <c r="C16" s="8" t="s">
        <v>133</v>
      </c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68</v>
      </c>
    </row>
    <row r="17" customFormat="false" ht="19.5" hidden="false" customHeight="true" outlineLevel="0" collapsed="false">
      <c r="A17" s="16" t="s">
        <v>283</v>
      </c>
      <c r="B17" s="16" t="s">
        <v>134</v>
      </c>
      <c r="C17" s="8" t="s">
        <v>135</v>
      </c>
      <c r="D17" s="16" t="s">
        <v>284</v>
      </c>
      <c r="E17" s="44" t="n">
        <v>242</v>
      </c>
      <c r="F17" s="44" t="n">
        <v>5000</v>
      </c>
      <c r="G17" s="32" t="n">
        <f aca="false">E17*F17</f>
        <v>1210000</v>
      </c>
      <c r="H17" s="4" t="s">
        <v>285</v>
      </c>
      <c r="I17" s="16" t="s">
        <v>70</v>
      </c>
    </row>
    <row r="18" customFormat="false" ht="19.5" hidden="false" customHeight="true" outlineLevel="0" collapsed="false">
      <c r="A18" s="16"/>
      <c r="B18" s="16" t="s">
        <v>138</v>
      </c>
      <c r="C18" s="8" t="s">
        <v>139</v>
      </c>
      <c r="D18" s="16" t="s">
        <v>273</v>
      </c>
      <c r="E18" s="44" t="n">
        <v>2</v>
      </c>
      <c r="F18" s="44" t="n">
        <v>250000</v>
      </c>
      <c r="G18" s="32" t="n">
        <f aca="false">E18*F18</f>
        <v>500000</v>
      </c>
      <c r="H18" s="8" t="s">
        <v>286</v>
      </c>
      <c r="I18" s="16" t="s">
        <v>69</v>
      </c>
    </row>
    <row r="19" customFormat="false" ht="19.5" hidden="false" customHeight="true" outlineLevel="0" collapsed="false">
      <c r="A19" s="16"/>
      <c r="B19" s="16" t="s">
        <v>142</v>
      </c>
      <c r="C19" s="4" t="s">
        <v>143</v>
      </c>
      <c r="D19" s="16" t="s">
        <v>287</v>
      </c>
      <c r="E19" s="44" t="n">
        <v>2</v>
      </c>
      <c r="F19" s="44" t="n">
        <v>260000</v>
      </c>
      <c r="G19" s="32" t="n">
        <f aca="false">E19*F19</f>
        <v>520000</v>
      </c>
      <c r="H19" s="8" t="s">
        <v>288</v>
      </c>
      <c r="I19" s="16" t="s">
        <v>70</v>
      </c>
    </row>
    <row r="20" customFormat="false" ht="19.5" hidden="false" customHeight="true" outlineLevel="0" collapsed="false">
      <c r="A20" s="16"/>
      <c r="B20" s="16" t="s">
        <v>145</v>
      </c>
      <c r="C20" s="4"/>
      <c r="D20" s="16" t="s">
        <v>39</v>
      </c>
      <c r="E20" s="44" t="n">
        <v>1</v>
      </c>
      <c r="F20" s="44" t="n">
        <v>380000</v>
      </c>
      <c r="G20" s="32" t="n">
        <f aca="false">E20*F20</f>
        <v>380000</v>
      </c>
      <c r="H20" s="4"/>
      <c r="I20" s="16" t="s">
        <v>68</v>
      </c>
    </row>
    <row r="21" customFormat="false" ht="19.5" hidden="false" customHeight="true" outlineLevel="0" collapsed="false">
      <c r="A21" s="16" t="s">
        <v>70</v>
      </c>
      <c r="B21" s="16" t="s">
        <v>70</v>
      </c>
      <c r="C21" s="8" t="s">
        <v>146</v>
      </c>
      <c r="D21" s="16" t="s">
        <v>39</v>
      </c>
      <c r="E21" s="44" t="n">
        <v>1</v>
      </c>
      <c r="F21" s="44" t="n">
        <v>600000</v>
      </c>
      <c r="G21" s="32" t="n">
        <f aca="false">E21*F21</f>
        <v>600000</v>
      </c>
      <c r="H21" s="4"/>
      <c r="I21" s="16" t="s">
        <v>70</v>
      </c>
    </row>
    <row r="22" customFormat="false" ht="19.5" hidden="false" customHeight="true" outlineLevel="0" collapsed="false">
      <c r="A22" s="45" t="s">
        <v>289</v>
      </c>
      <c r="B22" s="45"/>
      <c r="C22" s="45"/>
      <c r="D22" s="45"/>
      <c r="E22" s="45"/>
      <c r="F22" s="45"/>
      <c r="G22" s="46" t="n">
        <f aca="false">SUMIF($I$8:$I$21,"재료비",$G$8:$G$21)</f>
        <v>1380000</v>
      </c>
      <c r="H22" s="19"/>
      <c r="I22" s="19"/>
    </row>
    <row r="23" customFormat="false" ht="19.5" hidden="false" customHeight="true" outlineLevel="0" collapsed="false">
      <c r="A23" s="45" t="s">
        <v>290</v>
      </c>
      <c r="B23" s="45"/>
      <c r="C23" s="45"/>
      <c r="D23" s="45"/>
      <c r="E23" s="45"/>
      <c r="F23" s="45"/>
      <c r="G23" s="46" t="n">
        <f aca="false">SUMIF($I$8:$I$21,"노무비",$G$8:$G$21)</f>
        <v>6480000</v>
      </c>
      <c r="H23" s="19"/>
      <c r="I23" s="19"/>
    </row>
    <row r="24" customFormat="false" ht="19.5" hidden="false" customHeight="true" outlineLevel="0" collapsed="false">
      <c r="A24" s="45" t="s">
        <v>291</v>
      </c>
      <c r="B24" s="45"/>
      <c r="C24" s="45"/>
      <c r="D24" s="45"/>
      <c r="E24" s="45"/>
      <c r="F24" s="45"/>
      <c r="G24" s="46" t="n">
        <f aca="false">SUMIF($I$8:$I$21,"경비",$G$8:$G$21)</f>
        <v>12070000</v>
      </c>
      <c r="H24" s="19"/>
      <c r="I24" s="19"/>
    </row>
    <row r="25" customFormat="false" ht="19.5" hidden="false" customHeight="true" outlineLevel="0" collapsed="false">
      <c r="A25" s="45" t="s">
        <v>71</v>
      </c>
      <c r="B25" s="45"/>
      <c r="C25" s="45"/>
      <c r="D25" s="45"/>
      <c r="E25" s="45"/>
      <c r="F25" s="45"/>
      <c r="G25" s="46" t="n">
        <f aca="false">G23*요율근거!$C$5</f>
        <v>230688</v>
      </c>
      <c r="H25" s="42" t="s">
        <v>292</v>
      </c>
      <c r="I25" s="42"/>
    </row>
    <row r="26" customFormat="false" ht="19.5" hidden="false" customHeight="true" outlineLevel="0" collapsed="false">
      <c r="A26" s="45" t="s">
        <v>72</v>
      </c>
      <c r="B26" s="45"/>
      <c r="C26" s="45"/>
      <c r="D26" s="45"/>
      <c r="E26" s="45"/>
      <c r="F26" s="45"/>
      <c r="G26" s="46" t="n">
        <f aca="false">G23*요율근거!$C$6</f>
        <v>74520</v>
      </c>
      <c r="H26" s="42" t="s">
        <v>293</v>
      </c>
      <c r="I26" s="42"/>
    </row>
    <row r="27" customFormat="false" ht="19.5" hidden="false" customHeight="true" outlineLevel="0" collapsed="false">
      <c r="A27" s="45" t="s">
        <v>73</v>
      </c>
      <c r="B27" s="45"/>
      <c r="C27" s="45"/>
      <c r="D27" s="45"/>
      <c r="E27" s="45"/>
      <c r="F27" s="45"/>
      <c r="G27" s="46" t="n">
        <f aca="false">(G22+G23)*요율근거!$C$7</f>
        <v>244446</v>
      </c>
      <c r="H27" s="19" t="s">
        <v>294</v>
      </c>
      <c r="I27" s="19"/>
    </row>
    <row r="28" customFormat="false" ht="19.5" hidden="false" customHeight="true" outlineLevel="0" collapsed="false">
      <c r="A28" s="3" t="s">
        <v>74</v>
      </c>
      <c r="B28" s="3"/>
      <c r="C28" s="3"/>
      <c r="D28" s="3"/>
      <c r="E28" s="3"/>
      <c r="F28" s="3"/>
      <c r="G28" s="18" t="n">
        <f aca="false">SUM(G22:G27)</f>
        <v>20479654</v>
      </c>
      <c r="H28" s="19"/>
      <c r="I28" s="19"/>
    </row>
    <row r="29" customFormat="false" ht="19.5" hidden="false" customHeight="true" outlineLevel="0" collapsed="false">
      <c r="A29" s="45" t="s">
        <v>75</v>
      </c>
      <c r="B29" s="45"/>
      <c r="C29" s="45"/>
      <c r="D29" s="45"/>
      <c r="E29" s="45"/>
      <c r="F29" s="45"/>
      <c r="G29" s="46" t="n">
        <f aca="false">G28*요율근거!$C$8</f>
        <v>1023982.7</v>
      </c>
      <c r="H29" s="42" t="s">
        <v>295</v>
      </c>
      <c r="I29" s="42"/>
    </row>
    <row r="30" customFormat="false" ht="19.5" hidden="false" customHeight="true" outlineLevel="0" collapsed="false">
      <c r="A30" s="45" t="s">
        <v>76</v>
      </c>
      <c r="B30" s="45"/>
      <c r="C30" s="45"/>
      <c r="D30" s="45"/>
      <c r="E30" s="45"/>
      <c r="F30" s="45"/>
      <c r="G30" s="46" t="n">
        <f aca="false">(G23+G24+G25+G26+G27+G29)*요율근거!$C$9</f>
        <v>2414836.404</v>
      </c>
      <c r="H30" s="19" t="s">
        <v>296</v>
      </c>
      <c r="I30" s="19"/>
    </row>
    <row r="31" customFormat="false" ht="19.5" hidden="false" customHeight="true" outlineLevel="0" collapsed="false">
      <c r="A31" s="45" t="s">
        <v>77</v>
      </c>
      <c r="B31" s="45"/>
      <c r="C31" s="45"/>
      <c r="D31" s="45"/>
      <c r="E31" s="45"/>
      <c r="F31" s="45"/>
      <c r="G31" s="46" t="n">
        <f aca="false">-MOD(G28+G29+G30,1000)</f>
        <v>-473.103999998421</v>
      </c>
      <c r="H31" s="42" t="s">
        <v>297</v>
      </c>
      <c r="I31" s="42"/>
    </row>
    <row r="32" customFormat="false" ht="19.5" hidden="false" customHeight="true" outlineLevel="0" collapsed="false">
      <c r="A32" s="47" t="s">
        <v>150</v>
      </c>
      <c r="B32" s="47"/>
      <c r="C32" s="47"/>
      <c r="D32" s="47"/>
      <c r="E32" s="47"/>
      <c r="F32" s="47"/>
      <c r="G32" s="48" t="n">
        <f aca="false">G28+G29+G30+G31</f>
        <v>23918000</v>
      </c>
      <c r="H32" s="10" t="s">
        <v>298</v>
      </c>
      <c r="I32" s="10"/>
    </row>
    <row r="34" customFormat="false" ht="13.4" hidden="false" customHeight="false" outlineLevel="0" collapsed="false">
      <c r="A34" s="49" t="s">
        <v>299</v>
      </c>
      <c r="B34" s="49"/>
      <c r="C34" s="49"/>
      <c r="D34" s="49"/>
      <c r="E34" s="49"/>
      <c r="F34" s="49"/>
      <c r="G34" s="49"/>
      <c r="H34" s="49"/>
      <c r="I34" s="49"/>
    </row>
    <row r="35" customFormat="false" ht="13.4" hidden="false" customHeight="false" outlineLevel="0" collapsed="false">
      <c r="A35" s="49" t="s">
        <v>300</v>
      </c>
      <c r="B35" s="49"/>
      <c r="C35" s="49"/>
      <c r="D35" s="49"/>
      <c r="E35" s="49"/>
      <c r="F35" s="49"/>
      <c r="G35" s="49"/>
      <c r="H35" s="49"/>
      <c r="I35" s="49"/>
    </row>
  </sheetData>
  <mergeCells count="30">
    <mergeCell ref="A1:I2"/>
    <mergeCell ref="A3:I3"/>
    <mergeCell ref="A5:I5"/>
    <mergeCell ref="A8:A10"/>
    <mergeCell ref="A11:A15"/>
    <mergeCell ref="A17:A20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4:I34"/>
    <mergeCell ref="A35:I35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301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270</v>
      </c>
      <c r="F7" s="14" t="s">
        <v>271</v>
      </c>
      <c r="G7" s="14" t="s">
        <v>272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152</v>
      </c>
      <c r="C8" s="4" t="s">
        <v>153</v>
      </c>
      <c r="D8" s="16" t="s">
        <v>273</v>
      </c>
      <c r="E8" s="44" t="n">
        <v>9</v>
      </c>
      <c r="F8" s="44" t="n">
        <v>500000</v>
      </c>
      <c r="G8" s="32" t="n">
        <f aca="false">E8*F8</f>
        <v>4500000</v>
      </c>
      <c r="H8" s="4" t="s">
        <v>302</v>
      </c>
      <c r="I8" s="16" t="s">
        <v>69</v>
      </c>
    </row>
    <row r="9" customFormat="false" ht="19.5" hidden="false" customHeight="true" outlineLevel="0" collapsed="false">
      <c r="A9" s="16"/>
      <c r="B9" s="16" t="s">
        <v>157</v>
      </c>
      <c r="C9" s="8" t="s">
        <v>158</v>
      </c>
      <c r="D9" s="16" t="s">
        <v>273</v>
      </c>
      <c r="E9" s="44" t="n">
        <v>6</v>
      </c>
      <c r="F9" s="44" t="n">
        <v>350000</v>
      </c>
      <c r="G9" s="32" t="n">
        <f aca="false">E9*F9</f>
        <v>2100000</v>
      </c>
      <c r="H9" s="4" t="s">
        <v>303</v>
      </c>
      <c r="I9" s="16" t="s">
        <v>69</v>
      </c>
    </row>
    <row r="10" customFormat="false" ht="19.5" hidden="false" customHeight="true" outlineLevel="0" collapsed="false">
      <c r="A10" s="16"/>
      <c r="B10" s="16" t="s">
        <v>161</v>
      </c>
      <c r="C10" s="8" t="s">
        <v>162</v>
      </c>
      <c r="D10" s="16" t="s">
        <v>273</v>
      </c>
      <c r="E10" s="44" t="n">
        <v>4</v>
      </c>
      <c r="F10" s="44" t="n">
        <v>300000</v>
      </c>
      <c r="G10" s="32" t="n">
        <f aca="false">E10*F10</f>
        <v>1200000</v>
      </c>
      <c r="H10" s="4" t="s">
        <v>304</v>
      </c>
      <c r="I10" s="16" t="s">
        <v>69</v>
      </c>
    </row>
    <row r="11" customFormat="false" ht="19.5" hidden="false" customHeight="true" outlineLevel="0" collapsed="false">
      <c r="A11" s="16"/>
      <c r="B11" s="16" t="s">
        <v>165</v>
      </c>
      <c r="C11" s="8" t="s">
        <v>166</v>
      </c>
      <c r="D11" s="16" t="s">
        <v>273</v>
      </c>
      <c r="E11" s="44" t="n">
        <v>4</v>
      </c>
      <c r="F11" s="44" t="n">
        <v>200000</v>
      </c>
      <c r="G11" s="32" t="n">
        <f aca="false">E11*F11</f>
        <v>800000</v>
      </c>
      <c r="H11" s="4" t="s">
        <v>304</v>
      </c>
      <c r="I11" s="16" t="s">
        <v>69</v>
      </c>
    </row>
    <row r="12" customFormat="false" ht="19.5" hidden="false" customHeight="true" outlineLevel="0" collapsed="false">
      <c r="A12" s="16"/>
      <c r="B12" s="16" t="s">
        <v>168</v>
      </c>
      <c r="C12" s="8" t="s">
        <v>169</v>
      </c>
      <c r="D12" s="16" t="s">
        <v>273</v>
      </c>
      <c r="E12" s="44" t="n">
        <v>5</v>
      </c>
      <c r="F12" s="44" t="n">
        <v>250000</v>
      </c>
      <c r="G12" s="32" t="n">
        <f aca="false">E12*F12</f>
        <v>1250000</v>
      </c>
      <c r="H12" s="4" t="s">
        <v>305</v>
      </c>
      <c r="I12" s="16" t="s">
        <v>69</v>
      </c>
    </row>
    <row r="13" customFormat="false" ht="19.5" hidden="false" customHeight="true" outlineLevel="0" collapsed="false">
      <c r="A13" s="16" t="s">
        <v>277</v>
      </c>
      <c r="B13" s="15" t="s">
        <v>172</v>
      </c>
      <c r="C13" s="4" t="s">
        <v>173</v>
      </c>
      <c r="D13" s="16" t="s">
        <v>278</v>
      </c>
      <c r="E13" s="44" t="n">
        <v>9</v>
      </c>
      <c r="F13" s="44" t="n">
        <v>400000</v>
      </c>
      <c r="G13" s="32" t="n">
        <f aca="false">E13*F13</f>
        <v>3600000</v>
      </c>
      <c r="H13" s="4" t="s">
        <v>306</v>
      </c>
      <c r="I13" s="16" t="s">
        <v>70</v>
      </c>
    </row>
    <row r="14" customFormat="false" ht="19.5" hidden="false" customHeight="true" outlineLevel="0" collapsed="false">
      <c r="A14" s="16"/>
      <c r="B14" s="16" t="s">
        <v>175</v>
      </c>
      <c r="C14" s="8" t="s">
        <v>176</v>
      </c>
      <c r="D14" s="15" t="s">
        <v>281</v>
      </c>
      <c r="E14" s="44" t="n">
        <v>1</v>
      </c>
      <c r="F14" s="44" t="n">
        <v>800000</v>
      </c>
      <c r="G14" s="32" t="n">
        <f aca="false">E14*F14</f>
        <v>800000</v>
      </c>
      <c r="H14" s="4"/>
      <c r="I14" s="16" t="s">
        <v>70</v>
      </c>
    </row>
    <row r="15" customFormat="false" ht="19.5" hidden="false" customHeight="true" outlineLevel="0" collapsed="false">
      <c r="A15" s="16" t="s">
        <v>68</v>
      </c>
      <c r="B15" s="16" t="s">
        <v>177</v>
      </c>
      <c r="C15" s="4" t="s">
        <v>178</v>
      </c>
      <c r="D15" s="16" t="s">
        <v>39</v>
      </c>
      <c r="E15" s="44" t="n">
        <v>1</v>
      </c>
      <c r="F15" s="44" t="n">
        <v>3680000</v>
      </c>
      <c r="G15" s="32" t="n">
        <f aca="false">E15*F15</f>
        <v>3680000</v>
      </c>
      <c r="H15" s="4"/>
      <c r="I15" s="16" t="s">
        <v>68</v>
      </c>
    </row>
    <row r="16" customFormat="false" ht="19.5" hidden="false" customHeight="true" outlineLevel="0" collapsed="false">
      <c r="A16" s="16" t="s">
        <v>277</v>
      </c>
      <c r="B16" s="16" t="s">
        <v>180</v>
      </c>
      <c r="C16" s="4"/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70</v>
      </c>
    </row>
    <row r="17" customFormat="false" ht="19.5" hidden="false" customHeight="true" outlineLevel="0" collapsed="false">
      <c r="A17" s="16" t="s">
        <v>70</v>
      </c>
      <c r="B17" s="16" t="s">
        <v>70</v>
      </c>
      <c r="C17" s="8" t="s">
        <v>182</v>
      </c>
      <c r="D17" s="16" t="s">
        <v>39</v>
      </c>
      <c r="E17" s="44" t="n">
        <v>1</v>
      </c>
      <c r="F17" s="44" t="n">
        <v>1500000</v>
      </c>
      <c r="G17" s="32" t="n">
        <f aca="false">E17*F17</f>
        <v>1500000</v>
      </c>
      <c r="H17" s="4"/>
      <c r="I17" s="16" t="s">
        <v>70</v>
      </c>
    </row>
    <row r="18" customFormat="false" ht="19.5" hidden="false" customHeight="true" outlineLevel="0" collapsed="false">
      <c r="A18" s="45" t="s">
        <v>289</v>
      </c>
      <c r="B18" s="45"/>
      <c r="C18" s="45"/>
      <c r="D18" s="45"/>
      <c r="E18" s="45"/>
      <c r="F18" s="45"/>
      <c r="G18" s="46" t="n">
        <f aca="false">SUMIF($I$8:$I$17,"재료비",$G$8:$G$17)</f>
        <v>3680000</v>
      </c>
      <c r="H18" s="19"/>
      <c r="I18" s="19"/>
    </row>
    <row r="19" customFormat="false" ht="19.5" hidden="false" customHeight="true" outlineLevel="0" collapsed="false">
      <c r="A19" s="45" t="s">
        <v>290</v>
      </c>
      <c r="B19" s="45"/>
      <c r="C19" s="45"/>
      <c r="D19" s="45"/>
      <c r="E19" s="45"/>
      <c r="F19" s="45"/>
      <c r="G19" s="46" t="n">
        <f aca="false">SUMIF($I$8:$I$17,"노무비",$G$8:$G$17)</f>
        <v>9850000</v>
      </c>
      <c r="H19" s="19"/>
      <c r="I19" s="19"/>
    </row>
    <row r="20" customFormat="false" ht="19.5" hidden="false" customHeight="true" outlineLevel="0" collapsed="false">
      <c r="A20" s="45" t="s">
        <v>291</v>
      </c>
      <c r="B20" s="45"/>
      <c r="C20" s="45"/>
      <c r="D20" s="45"/>
      <c r="E20" s="45"/>
      <c r="F20" s="45"/>
      <c r="G20" s="46" t="n">
        <f aca="false">SUMIF($I$8:$I$17,"경비",$G$8:$G$17)</f>
        <v>6900000</v>
      </c>
      <c r="H20" s="19"/>
      <c r="I20" s="19"/>
    </row>
    <row r="21" customFormat="false" ht="19.5" hidden="false" customHeight="true" outlineLevel="0" collapsed="false">
      <c r="A21" s="45" t="s">
        <v>71</v>
      </c>
      <c r="B21" s="45"/>
      <c r="C21" s="45"/>
      <c r="D21" s="45"/>
      <c r="E21" s="45"/>
      <c r="F21" s="45"/>
      <c r="G21" s="46" t="n">
        <f aca="false">G19*요율근거!$C$5</f>
        <v>350660</v>
      </c>
      <c r="H21" s="42" t="s">
        <v>292</v>
      </c>
      <c r="I21" s="42"/>
    </row>
    <row r="22" customFormat="false" ht="19.5" hidden="false" customHeight="true" outlineLevel="0" collapsed="false">
      <c r="A22" s="45" t="s">
        <v>72</v>
      </c>
      <c r="B22" s="45"/>
      <c r="C22" s="45"/>
      <c r="D22" s="45"/>
      <c r="E22" s="45"/>
      <c r="F22" s="45"/>
      <c r="G22" s="46" t="n">
        <f aca="false">G19*요율근거!$C$6</f>
        <v>113275</v>
      </c>
      <c r="H22" s="42" t="s">
        <v>293</v>
      </c>
      <c r="I22" s="42"/>
    </row>
    <row r="23" customFormat="false" ht="19.5" hidden="false" customHeight="true" outlineLevel="0" collapsed="false">
      <c r="A23" s="45" t="s">
        <v>73</v>
      </c>
      <c r="B23" s="45"/>
      <c r="C23" s="45"/>
      <c r="D23" s="45"/>
      <c r="E23" s="45"/>
      <c r="F23" s="45"/>
      <c r="G23" s="46" t="n">
        <f aca="false">(G18+G19)*요율근거!$C$7</f>
        <v>420783</v>
      </c>
      <c r="H23" s="19" t="s">
        <v>294</v>
      </c>
      <c r="I23" s="19"/>
    </row>
    <row r="24" customFormat="false" ht="19.5" hidden="false" customHeight="true" outlineLevel="0" collapsed="false">
      <c r="A24" s="3" t="s">
        <v>74</v>
      </c>
      <c r="B24" s="3"/>
      <c r="C24" s="3"/>
      <c r="D24" s="3"/>
      <c r="E24" s="3"/>
      <c r="F24" s="3"/>
      <c r="G24" s="18" t="n">
        <f aca="false">SUM(G18:G23)</f>
        <v>21314718</v>
      </c>
      <c r="H24" s="19"/>
      <c r="I24" s="19"/>
    </row>
    <row r="25" customFormat="false" ht="19.5" hidden="false" customHeight="true" outlineLevel="0" collapsed="false">
      <c r="A25" s="45" t="s">
        <v>75</v>
      </c>
      <c r="B25" s="45"/>
      <c r="C25" s="45"/>
      <c r="D25" s="45"/>
      <c r="E25" s="45"/>
      <c r="F25" s="45"/>
      <c r="G25" s="46" t="n">
        <f aca="false">G24*요율근거!$C$8</f>
        <v>1065735.9</v>
      </c>
      <c r="H25" s="42" t="s">
        <v>295</v>
      </c>
      <c r="I25" s="42"/>
    </row>
    <row r="26" customFormat="false" ht="19.5" hidden="false" customHeight="true" outlineLevel="0" collapsed="false">
      <c r="A26" s="45" t="s">
        <v>76</v>
      </c>
      <c r="B26" s="45"/>
      <c r="C26" s="45"/>
      <c r="D26" s="45"/>
      <c r="E26" s="45"/>
      <c r="F26" s="45"/>
      <c r="G26" s="46" t="n">
        <f aca="false">(G19+G20+G21+G22+G23+G25)*요율근거!$C$10</f>
        <v>2244054.468</v>
      </c>
      <c r="H26" s="19" t="s">
        <v>296</v>
      </c>
      <c r="I26" s="19"/>
    </row>
    <row r="27" customFormat="false" ht="19.5" hidden="false" customHeight="true" outlineLevel="0" collapsed="false">
      <c r="A27" s="45" t="s">
        <v>77</v>
      </c>
      <c r="B27" s="45"/>
      <c r="C27" s="45"/>
      <c r="D27" s="45"/>
      <c r="E27" s="45"/>
      <c r="F27" s="45"/>
      <c r="G27" s="46" t="n">
        <f aca="false">-MOD(G24+G25+G26,1000)</f>
        <v>-508.36799999699</v>
      </c>
      <c r="H27" s="42" t="s">
        <v>297</v>
      </c>
      <c r="I27" s="42"/>
    </row>
    <row r="28" customFormat="false" ht="19.5" hidden="false" customHeight="true" outlineLevel="0" collapsed="false">
      <c r="A28" s="47" t="s">
        <v>150</v>
      </c>
      <c r="B28" s="47"/>
      <c r="C28" s="47"/>
      <c r="D28" s="47"/>
      <c r="E28" s="47"/>
      <c r="F28" s="47"/>
      <c r="G28" s="48" t="n">
        <f aca="false">G24+G25+G26+G27</f>
        <v>24624000</v>
      </c>
      <c r="H28" s="10" t="s">
        <v>298</v>
      </c>
      <c r="I28" s="10"/>
    </row>
    <row r="30" customFormat="false" ht="13.4" hidden="false" customHeight="false" outlineLevel="0" collapsed="false">
      <c r="A30" s="49" t="s">
        <v>299</v>
      </c>
      <c r="B30" s="49"/>
      <c r="C30" s="49"/>
      <c r="D30" s="49"/>
      <c r="E30" s="49"/>
      <c r="F30" s="49"/>
      <c r="G30" s="49"/>
      <c r="H30" s="49"/>
      <c r="I30" s="49"/>
    </row>
    <row r="31" customFormat="false" ht="13.4" hidden="false" customHeight="false" outlineLevel="0" collapsed="false">
      <c r="A31" s="49" t="s">
        <v>300</v>
      </c>
      <c r="B31" s="49"/>
      <c r="C31" s="49"/>
      <c r="D31" s="49"/>
      <c r="E31" s="49"/>
      <c r="F31" s="49"/>
      <c r="G31" s="49"/>
      <c r="H31" s="49"/>
      <c r="I31" s="49"/>
    </row>
  </sheetData>
  <mergeCells count="29">
    <mergeCell ref="A1:I2"/>
    <mergeCell ref="A3:I3"/>
    <mergeCell ref="A5:I5"/>
    <mergeCell ref="A8:A12"/>
    <mergeCell ref="A13:A14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30:I30"/>
    <mergeCell ref="A31:I3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307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270</v>
      </c>
      <c r="F7" s="14" t="s">
        <v>271</v>
      </c>
      <c r="G7" s="14" t="s">
        <v>272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68</v>
      </c>
      <c r="B8" s="15" t="s">
        <v>185</v>
      </c>
      <c r="C8" s="4" t="s">
        <v>186</v>
      </c>
      <c r="D8" s="15" t="s">
        <v>308</v>
      </c>
      <c r="E8" s="44" t="n">
        <v>9991</v>
      </c>
      <c r="F8" s="44" t="n">
        <v>700</v>
      </c>
      <c r="G8" s="32" t="n">
        <f aca="false">E8*F8</f>
        <v>6993700</v>
      </c>
      <c r="H8" s="8" t="s">
        <v>309</v>
      </c>
      <c r="I8" s="16" t="s">
        <v>68</v>
      </c>
    </row>
    <row r="9" customFormat="false" ht="19.5" hidden="false" customHeight="true" outlineLevel="0" collapsed="false">
      <c r="A9" s="16"/>
      <c r="B9" s="15" t="s">
        <v>189</v>
      </c>
      <c r="C9" s="4"/>
      <c r="D9" s="16" t="s">
        <v>39</v>
      </c>
      <c r="E9" s="44" t="n">
        <v>1</v>
      </c>
      <c r="F9" s="44" t="n">
        <v>160000</v>
      </c>
      <c r="G9" s="32" t="n">
        <f aca="false">E9*F9</f>
        <v>160000</v>
      </c>
      <c r="H9" s="4"/>
      <c r="I9" s="16" t="s">
        <v>68</v>
      </c>
    </row>
    <row r="10" customFormat="false" ht="19.5" hidden="false" customHeight="true" outlineLevel="0" collapsed="false">
      <c r="A10" s="16"/>
      <c r="B10" s="16" t="s">
        <v>191</v>
      </c>
      <c r="C10" s="4"/>
      <c r="D10" s="16" t="s">
        <v>39</v>
      </c>
      <c r="E10" s="44" t="n">
        <v>1</v>
      </c>
      <c r="F10" s="44" t="n">
        <v>160000</v>
      </c>
      <c r="G10" s="32" t="n">
        <f aca="false">E10*F10</f>
        <v>160000</v>
      </c>
      <c r="H10" s="8" t="s">
        <v>310</v>
      </c>
      <c r="I10" s="16" t="s">
        <v>68</v>
      </c>
    </row>
    <row r="11" customFormat="false" ht="19.5" hidden="false" customHeight="true" outlineLevel="0" collapsed="false">
      <c r="A11" s="16"/>
      <c r="B11" s="16" t="s">
        <v>177</v>
      </c>
      <c r="C11" s="8" t="s">
        <v>192</v>
      </c>
      <c r="D11" s="16" t="s">
        <v>39</v>
      </c>
      <c r="E11" s="44" t="n">
        <v>1</v>
      </c>
      <c r="F11" s="44" t="n">
        <v>1000000</v>
      </c>
      <c r="G11" s="32" t="n">
        <f aca="false">E11*F11</f>
        <v>1000000</v>
      </c>
      <c r="H11" s="4"/>
      <c r="I11" s="16" t="s">
        <v>68</v>
      </c>
    </row>
    <row r="12" customFormat="false" ht="19.5" hidden="false" customHeight="true" outlineLevel="0" collapsed="false">
      <c r="A12" s="16"/>
      <c r="B12" s="16" t="s">
        <v>193</v>
      </c>
      <c r="C12" s="8" t="s">
        <v>194</v>
      </c>
      <c r="D12" s="16" t="s">
        <v>39</v>
      </c>
      <c r="E12" s="44" t="n">
        <v>1</v>
      </c>
      <c r="F12" s="44" t="n">
        <v>500000</v>
      </c>
      <c r="G12" s="32" t="n">
        <f aca="false">E12*F12</f>
        <v>500000</v>
      </c>
      <c r="H12" s="8" t="s">
        <v>311</v>
      </c>
      <c r="I12" s="16" t="s">
        <v>68</v>
      </c>
    </row>
    <row r="13" customFormat="false" ht="19.5" hidden="false" customHeight="true" outlineLevel="0" collapsed="false">
      <c r="A13" s="16"/>
      <c r="B13" s="16" t="s">
        <v>195</v>
      </c>
      <c r="C13" s="8" t="s">
        <v>196</v>
      </c>
      <c r="D13" s="16" t="s">
        <v>39</v>
      </c>
      <c r="E13" s="44" t="n">
        <v>1</v>
      </c>
      <c r="F13" s="44" t="n">
        <v>420000</v>
      </c>
      <c r="G13" s="32" t="n">
        <f aca="false">E13*F13</f>
        <v>420000</v>
      </c>
      <c r="H13" s="8" t="s">
        <v>312</v>
      </c>
      <c r="I13" s="16" t="s">
        <v>68</v>
      </c>
    </row>
    <row r="14" customFormat="false" ht="19.5" hidden="false" customHeight="true" outlineLevel="0" collapsed="false">
      <c r="A14" s="16" t="s">
        <v>69</v>
      </c>
      <c r="B14" s="16" t="s">
        <v>197</v>
      </c>
      <c r="C14" s="8" t="s">
        <v>198</v>
      </c>
      <c r="D14" s="16" t="s">
        <v>273</v>
      </c>
      <c r="E14" s="44" t="n">
        <v>6</v>
      </c>
      <c r="F14" s="44" t="n">
        <v>350000</v>
      </c>
      <c r="G14" s="32" t="n">
        <f aca="false">E14*F14</f>
        <v>2100000</v>
      </c>
      <c r="H14" s="4" t="s">
        <v>303</v>
      </c>
      <c r="I14" s="16" t="s">
        <v>69</v>
      </c>
    </row>
    <row r="15" customFormat="false" ht="19.5" hidden="false" customHeight="true" outlineLevel="0" collapsed="false">
      <c r="A15" s="16"/>
      <c r="B15" s="16" t="s">
        <v>152</v>
      </c>
      <c r="C15" s="8" t="s">
        <v>200</v>
      </c>
      <c r="D15" s="16" t="s">
        <v>273</v>
      </c>
      <c r="E15" s="44" t="n">
        <v>3</v>
      </c>
      <c r="F15" s="44" t="n">
        <v>500000</v>
      </c>
      <c r="G15" s="32" t="n">
        <f aca="false">E15*F15</f>
        <v>1500000</v>
      </c>
      <c r="H15" s="4" t="s">
        <v>276</v>
      </c>
      <c r="I15" s="16" t="s">
        <v>69</v>
      </c>
    </row>
    <row r="16" customFormat="false" ht="19.5" hidden="false" customHeight="true" outlineLevel="0" collapsed="false">
      <c r="A16" s="16"/>
      <c r="B16" s="16" t="s">
        <v>165</v>
      </c>
      <c r="C16" s="8" t="s">
        <v>202</v>
      </c>
      <c r="D16" s="16" t="s">
        <v>273</v>
      </c>
      <c r="E16" s="44" t="n">
        <v>3</v>
      </c>
      <c r="F16" s="44" t="n">
        <v>200000</v>
      </c>
      <c r="G16" s="32" t="n">
        <f aca="false">E16*F16</f>
        <v>600000</v>
      </c>
      <c r="H16" s="4" t="s">
        <v>276</v>
      </c>
      <c r="I16" s="16" t="s">
        <v>69</v>
      </c>
    </row>
    <row r="17" customFormat="false" ht="19.5" hidden="false" customHeight="true" outlineLevel="0" collapsed="false">
      <c r="A17" s="16"/>
      <c r="B17" s="16" t="s">
        <v>168</v>
      </c>
      <c r="C17" s="8" t="s">
        <v>204</v>
      </c>
      <c r="D17" s="16" t="s">
        <v>273</v>
      </c>
      <c r="E17" s="44" t="n">
        <v>3</v>
      </c>
      <c r="F17" s="44" t="n">
        <v>250000</v>
      </c>
      <c r="G17" s="32" t="n">
        <f aca="false">E17*F17</f>
        <v>750000</v>
      </c>
      <c r="H17" s="4" t="s">
        <v>276</v>
      </c>
      <c r="I17" s="16" t="s">
        <v>69</v>
      </c>
    </row>
    <row r="18" customFormat="false" ht="19.5" hidden="false" customHeight="true" outlineLevel="0" collapsed="false">
      <c r="A18" s="16" t="s">
        <v>277</v>
      </c>
      <c r="B18" s="16" t="s">
        <v>206</v>
      </c>
      <c r="C18" s="8" t="s">
        <v>207</v>
      </c>
      <c r="D18" s="16" t="s">
        <v>313</v>
      </c>
      <c r="E18" s="44" t="n">
        <v>2</v>
      </c>
      <c r="F18" s="44" t="n">
        <v>300000</v>
      </c>
      <c r="G18" s="32" t="n">
        <f aca="false">E18*F18</f>
        <v>600000</v>
      </c>
      <c r="H18" s="4"/>
      <c r="I18" s="16" t="s">
        <v>70</v>
      </c>
    </row>
    <row r="19" customFormat="false" ht="19.5" hidden="false" customHeight="true" outlineLevel="0" collapsed="false">
      <c r="A19" s="16"/>
      <c r="B19" s="16" t="s">
        <v>206</v>
      </c>
      <c r="C19" s="8" t="s">
        <v>209</v>
      </c>
      <c r="D19" s="16" t="s">
        <v>313</v>
      </c>
      <c r="E19" s="44" t="n">
        <v>1</v>
      </c>
      <c r="F19" s="44" t="n">
        <v>300000</v>
      </c>
      <c r="G19" s="32" t="n">
        <f aca="false">E19*F19</f>
        <v>300000</v>
      </c>
      <c r="H19" s="4"/>
      <c r="I19" s="16" t="s">
        <v>70</v>
      </c>
    </row>
    <row r="20" customFormat="false" ht="19.5" hidden="false" customHeight="true" outlineLevel="0" collapsed="false">
      <c r="A20" s="16"/>
      <c r="B20" s="15" t="s">
        <v>172</v>
      </c>
      <c r="C20" s="4" t="s">
        <v>173</v>
      </c>
      <c r="D20" s="16" t="s">
        <v>278</v>
      </c>
      <c r="E20" s="44" t="n">
        <v>3</v>
      </c>
      <c r="F20" s="44" t="n">
        <v>400000</v>
      </c>
      <c r="G20" s="32" t="n">
        <f aca="false">E20*F20</f>
        <v>1200000</v>
      </c>
      <c r="H20" s="4" t="s">
        <v>314</v>
      </c>
      <c r="I20" s="16" t="s">
        <v>70</v>
      </c>
    </row>
    <row r="21" customFormat="false" ht="19.5" hidden="false" customHeight="true" outlineLevel="0" collapsed="false">
      <c r="A21" s="16"/>
      <c r="B21" s="16" t="s">
        <v>213</v>
      </c>
      <c r="C21" s="8" t="s">
        <v>214</v>
      </c>
      <c r="D21" s="16" t="s">
        <v>39</v>
      </c>
      <c r="E21" s="44" t="n">
        <v>1</v>
      </c>
      <c r="F21" s="44" t="n">
        <v>300000</v>
      </c>
      <c r="G21" s="32" t="n">
        <f aca="false">E21*F21</f>
        <v>300000</v>
      </c>
      <c r="H21" s="4"/>
      <c r="I21" s="16" t="s">
        <v>70</v>
      </c>
    </row>
    <row r="22" customFormat="false" ht="19.5" hidden="false" customHeight="true" outlineLevel="0" collapsed="false">
      <c r="A22" s="16" t="s">
        <v>70</v>
      </c>
      <c r="B22" s="16" t="s">
        <v>70</v>
      </c>
      <c r="C22" s="8" t="s">
        <v>146</v>
      </c>
      <c r="D22" s="16" t="s">
        <v>39</v>
      </c>
      <c r="E22" s="44" t="n">
        <v>1</v>
      </c>
      <c r="F22" s="44" t="n">
        <v>600000</v>
      </c>
      <c r="G22" s="32" t="n">
        <f aca="false">E22*F22</f>
        <v>600000</v>
      </c>
      <c r="H22" s="4"/>
      <c r="I22" s="16" t="s">
        <v>70</v>
      </c>
    </row>
    <row r="23" customFormat="false" ht="19.5" hidden="false" customHeight="true" outlineLevel="0" collapsed="false">
      <c r="A23" s="45" t="s">
        <v>289</v>
      </c>
      <c r="B23" s="45"/>
      <c r="C23" s="45"/>
      <c r="D23" s="45"/>
      <c r="E23" s="45"/>
      <c r="F23" s="45"/>
      <c r="G23" s="46" t="n">
        <f aca="false">SUMIF($I$8:$I$22,"재료비",$G$8:$G$22)</f>
        <v>9233700</v>
      </c>
      <c r="H23" s="19"/>
      <c r="I23" s="19"/>
    </row>
    <row r="24" customFormat="false" ht="19.5" hidden="false" customHeight="true" outlineLevel="0" collapsed="false">
      <c r="A24" s="45" t="s">
        <v>290</v>
      </c>
      <c r="B24" s="45"/>
      <c r="C24" s="45"/>
      <c r="D24" s="45"/>
      <c r="E24" s="45"/>
      <c r="F24" s="45"/>
      <c r="G24" s="46" t="n">
        <f aca="false">SUMIF($I$8:$I$22,"노무비",$G$8:$G$22)</f>
        <v>4950000</v>
      </c>
      <c r="H24" s="19"/>
      <c r="I24" s="19"/>
    </row>
    <row r="25" customFormat="false" ht="19.5" hidden="false" customHeight="true" outlineLevel="0" collapsed="false">
      <c r="A25" s="45" t="s">
        <v>291</v>
      </c>
      <c r="B25" s="45"/>
      <c r="C25" s="45"/>
      <c r="D25" s="45"/>
      <c r="E25" s="45"/>
      <c r="F25" s="45"/>
      <c r="G25" s="46" t="n">
        <f aca="false">SUMIF($I$8:$I$22,"경비",$G$8:$G$22)</f>
        <v>3000000</v>
      </c>
      <c r="H25" s="19"/>
      <c r="I25" s="19"/>
    </row>
    <row r="26" customFormat="false" ht="19.5" hidden="false" customHeight="true" outlineLevel="0" collapsed="false">
      <c r="A26" s="45" t="s">
        <v>71</v>
      </c>
      <c r="B26" s="45"/>
      <c r="C26" s="45"/>
      <c r="D26" s="45"/>
      <c r="E26" s="45"/>
      <c r="F26" s="45"/>
      <c r="G26" s="46" t="n">
        <f aca="false">G24*요율근거!$C$5</f>
        <v>176220</v>
      </c>
      <c r="H26" s="42" t="s">
        <v>292</v>
      </c>
      <c r="I26" s="42"/>
    </row>
    <row r="27" customFormat="false" ht="19.5" hidden="false" customHeight="true" outlineLevel="0" collapsed="false">
      <c r="A27" s="45" t="s">
        <v>72</v>
      </c>
      <c r="B27" s="45"/>
      <c r="C27" s="45"/>
      <c r="D27" s="45"/>
      <c r="E27" s="45"/>
      <c r="F27" s="45"/>
      <c r="G27" s="46" t="n">
        <f aca="false">G24*요율근거!$C$6</f>
        <v>56925</v>
      </c>
      <c r="H27" s="42" t="s">
        <v>293</v>
      </c>
      <c r="I27" s="42"/>
    </row>
    <row r="28" customFormat="false" ht="19.5" hidden="false" customHeight="true" outlineLevel="0" collapsed="false">
      <c r="A28" s="45" t="s">
        <v>73</v>
      </c>
      <c r="B28" s="45"/>
      <c r="C28" s="45"/>
      <c r="D28" s="45"/>
      <c r="E28" s="45"/>
      <c r="F28" s="45"/>
      <c r="G28" s="46" t="n">
        <f aca="false">(G23+G24)*요율근거!$C$7</f>
        <v>441113.07</v>
      </c>
      <c r="H28" s="19" t="s">
        <v>294</v>
      </c>
      <c r="I28" s="19"/>
    </row>
    <row r="29" customFormat="false" ht="19.5" hidden="false" customHeight="true" outlineLevel="0" collapsed="false">
      <c r="A29" s="3" t="s">
        <v>74</v>
      </c>
      <c r="B29" s="3"/>
      <c r="C29" s="3"/>
      <c r="D29" s="3"/>
      <c r="E29" s="3"/>
      <c r="F29" s="3"/>
      <c r="G29" s="18" t="n">
        <f aca="false">SUM(G23:G28)</f>
        <v>17857958.07</v>
      </c>
      <c r="H29" s="19"/>
      <c r="I29" s="19"/>
    </row>
    <row r="30" customFormat="false" ht="19.5" hidden="false" customHeight="true" outlineLevel="0" collapsed="false">
      <c r="A30" s="45" t="s">
        <v>75</v>
      </c>
      <c r="B30" s="45"/>
      <c r="C30" s="45"/>
      <c r="D30" s="45"/>
      <c r="E30" s="45"/>
      <c r="F30" s="45"/>
      <c r="G30" s="46" t="n">
        <f aca="false">G29*요율근거!$C$8</f>
        <v>892897.9035</v>
      </c>
      <c r="H30" s="42" t="s">
        <v>295</v>
      </c>
      <c r="I30" s="42"/>
    </row>
    <row r="31" customFormat="false" ht="19.5" hidden="false" customHeight="true" outlineLevel="0" collapsed="false">
      <c r="A31" s="45" t="s">
        <v>76</v>
      </c>
      <c r="B31" s="45"/>
      <c r="C31" s="45"/>
      <c r="D31" s="45"/>
      <c r="E31" s="45"/>
      <c r="F31" s="45"/>
      <c r="G31" s="46" t="n">
        <f aca="false">(G24+G25+G26+G27+G28+G30)*요율근거!$C$11</f>
        <v>1142058.71682</v>
      </c>
      <c r="H31" s="19" t="s">
        <v>296</v>
      </c>
      <c r="I31" s="19"/>
    </row>
    <row r="32" customFormat="false" ht="19.5" hidden="false" customHeight="true" outlineLevel="0" collapsed="false">
      <c r="A32" s="45" t="s">
        <v>77</v>
      </c>
      <c r="B32" s="45"/>
      <c r="C32" s="45"/>
      <c r="D32" s="45"/>
      <c r="E32" s="45"/>
      <c r="F32" s="45"/>
      <c r="G32" s="46" t="n">
        <f aca="false">-MOD(G29+G30+G31,1000)</f>
        <v>-914.690320000053</v>
      </c>
      <c r="H32" s="42" t="s">
        <v>297</v>
      </c>
      <c r="I32" s="42"/>
    </row>
    <row r="33" customFormat="false" ht="19.5" hidden="false" customHeight="true" outlineLevel="0" collapsed="false">
      <c r="A33" s="47" t="s">
        <v>150</v>
      </c>
      <c r="B33" s="47"/>
      <c r="C33" s="47"/>
      <c r="D33" s="47"/>
      <c r="E33" s="47"/>
      <c r="F33" s="47"/>
      <c r="G33" s="48" t="n">
        <f aca="false">G29+G30+G31+G32</f>
        <v>19892000</v>
      </c>
      <c r="H33" s="10" t="s">
        <v>298</v>
      </c>
      <c r="I33" s="10"/>
    </row>
    <row r="35" customFormat="false" ht="13.4" hidden="false" customHeight="false" outlineLevel="0" collapsed="false">
      <c r="A35" s="49" t="s">
        <v>299</v>
      </c>
      <c r="B35" s="49"/>
      <c r="C35" s="49"/>
      <c r="D35" s="49"/>
      <c r="E35" s="49"/>
      <c r="F35" s="49"/>
      <c r="G35" s="49"/>
      <c r="H35" s="49"/>
      <c r="I35" s="49"/>
    </row>
    <row r="36" customFormat="false" ht="13.4" hidden="false" customHeight="false" outlineLevel="0" collapsed="false">
      <c r="A36" s="49" t="s">
        <v>300</v>
      </c>
      <c r="B36" s="49"/>
      <c r="C36" s="49"/>
      <c r="D36" s="49"/>
      <c r="E36" s="49"/>
      <c r="F36" s="49"/>
      <c r="G36" s="49"/>
      <c r="H36" s="49"/>
      <c r="I36" s="49"/>
    </row>
  </sheetData>
  <mergeCells count="30">
    <mergeCell ref="A1:I2"/>
    <mergeCell ref="A3:I3"/>
    <mergeCell ref="A5:I5"/>
    <mergeCell ref="A8:A13"/>
    <mergeCell ref="A14:A17"/>
    <mergeCell ref="A18:A21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5:I35"/>
    <mergeCell ref="A36:I36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315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270</v>
      </c>
      <c r="F7" s="14" t="s">
        <v>271</v>
      </c>
      <c r="G7" s="14" t="s">
        <v>272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103</v>
      </c>
      <c r="C8" s="8" t="s">
        <v>217</v>
      </c>
      <c r="D8" s="16" t="s">
        <v>273</v>
      </c>
      <c r="E8" s="44" t="n">
        <v>25</v>
      </c>
      <c r="F8" s="44" t="n">
        <v>300000</v>
      </c>
      <c r="G8" s="32" t="n">
        <f aca="false">E8*F8</f>
        <v>7500000</v>
      </c>
      <c r="H8" s="4" t="s">
        <v>316</v>
      </c>
      <c r="I8" s="16" t="s">
        <v>69</v>
      </c>
    </row>
    <row r="9" customFormat="false" ht="19.5" hidden="false" customHeight="true" outlineLevel="0" collapsed="false">
      <c r="A9" s="16"/>
      <c r="B9" s="16" t="s">
        <v>108</v>
      </c>
      <c r="C9" s="8" t="s">
        <v>109</v>
      </c>
      <c r="D9" s="16" t="s">
        <v>273</v>
      </c>
      <c r="E9" s="44" t="n">
        <v>4</v>
      </c>
      <c r="F9" s="44" t="n">
        <v>260000</v>
      </c>
      <c r="G9" s="32" t="n">
        <f aca="false">E9*F9</f>
        <v>1040000</v>
      </c>
      <c r="H9" s="4" t="s">
        <v>317</v>
      </c>
      <c r="I9" s="16" t="s">
        <v>69</v>
      </c>
    </row>
    <row r="10" customFormat="false" ht="19.5" hidden="false" customHeight="true" outlineLevel="0" collapsed="false">
      <c r="A10" s="16"/>
      <c r="B10" s="16" t="s">
        <v>113</v>
      </c>
      <c r="C10" s="8" t="s">
        <v>221</v>
      </c>
      <c r="D10" s="16" t="s">
        <v>273</v>
      </c>
      <c r="E10" s="44" t="n">
        <v>3</v>
      </c>
      <c r="F10" s="44" t="n">
        <v>320000</v>
      </c>
      <c r="G10" s="32" t="n">
        <f aca="false">E10*F10</f>
        <v>960000</v>
      </c>
      <c r="H10" s="4" t="s">
        <v>276</v>
      </c>
      <c r="I10" s="16" t="s">
        <v>69</v>
      </c>
    </row>
    <row r="11" customFormat="false" ht="19.5" hidden="false" customHeight="true" outlineLevel="0" collapsed="false">
      <c r="A11" s="16" t="s">
        <v>277</v>
      </c>
      <c r="B11" s="16" t="s">
        <v>116</v>
      </c>
      <c r="C11" s="4" t="s">
        <v>222</v>
      </c>
      <c r="D11" s="16" t="s">
        <v>278</v>
      </c>
      <c r="E11" s="44" t="n">
        <v>1</v>
      </c>
      <c r="F11" s="44" t="n">
        <v>2400000</v>
      </c>
      <c r="G11" s="32" t="n">
        <f aca="false">E11*F11</f>
        <v>2400000</v>
      </c>
      <c r="H11" s="8" t="s">
        <v>318</v>
      </c>
      <c r="I11" s="16" t="s">
        <v>70</v>
      </c>
    </row>
    <row r="12" customFormat="false" ht="19.5" hidden="false" customHeight="true" outlineLevel="0" collapsed="false">
      <c r="A12" s="16"/>
      <c r="B12" s="16" t="s">
        <v>116</v>
      </c>
      <c r="C12" s="4" t="s">
        <v>223</v>
      </c>
      <c r="D12" s="16" t="s">
        <v>278</v>
      </c>
      <c r="E12" s="44" t="n">
        <v>1</v>
      </c>
      <c r="F12" s="44" t="n">
        <v>1700000</v>
      </c>
      <c r="G12" s="32" t="n">
        <f aca="false">E12*F12</f>
        <v>1700000</v>
      </c>
      <c r="H12" s="8" t="s">
        <v>318</v>
      </c>
      <c r="I12" s="16" t="s">
        <v>70</v>
      </c>
    </row>
    <row r="13" customFormat="false" ht="19.5" hidden="false" customHeight="true" outlineLevel="0" collapsed="false">
      <c r="A13" s="16"/>
      <c r="B13" s="16" t="s">
        <v>116</v>
      </c>
      <c r="C13" s="4" t="s">
        <v>224</v>
      </c>
      <c r="D13" s="16" t="s">
        <v>278</v>
      </c>
      <c r="E13" s="44" t="n">
        <v>1</v>
      </c>
      <c r="F13" s="44" t="n">
        <v>3500000</v>
      </c>
      <c r="G13" s="32" t="n">
        <f aca="false">E13*F13</f>
        <v>3500000</v>
      </c>
      <c r="H13" s="8" t="s">
        <v>319</v>
      </c>
      <c r="I13" s="16" t="s">
        <v>70</v>
      </c>
    </row>
    <row r="14" customFormat="false" ht="19.5" hidden="false" customHeight="true" outlineLevel="0" collapsed="false">
      <c r="A14" s="16"/>
      <c r="B14" s="15" t="s">
        <v>227</v>
      </c>
      <c r="C14" s="8" t="s">
        <v>228</v>
      </c>
      <c r="D14" s="16" t="s">
        <v>39</v>
      </c>
      <c r="E14" s="44" t="n">
        <v>1</v>
      </c>
      <c r="F14" s="44" t="n">
        <v>1200000</v>
      </c>
      <c r="G14" s="32" t="n">
        <f aca="false">E14*F14</f>
        <v>1200000</v>
      </c>
      <c r="H14" s="8" t="s">
        <v>320</v>
      </c>
      <c r="I14" s="16" t="s">
        <v>70</v>
      </c>
    </row>
    <row r="15" customFormat="false" ht="19.5" hidden="false" customHeight="true" outlineLevel="0" collapsed="false">
      <c r="A15" s="16"/>
      <c r="B15" s="16" t="s">
        <v>116</v>
      </c>
      <c r="C15" s="4" t="s">
        <v>229</v>
      </c>
      <c r="D15" s="16" t="s">
        <v>278</v>
      </c>
      <c r="E15" s="44" t="n">
        <v>1</v>
      </c>
      <c r="F15" s="44" t="n">
        <v>2400000</v>
      </c>
      <c r="G15" s="32" t="n">
        <f aca="false">E15*F15</f>
        <v>2400000</v>
      </c>
      <c r="H15" s="8" t="s">
        <v>321</v>
      </c>
      <c r="I15" s="16" t="s">
        <v>70</v>
      </c>
    </row>
    <row r="16" customFormat="false" ht="19.5" hidden="false" customHeight="true" outlineLevel="0" collapsed="false">
      <c r="A16" s="16"/>
      <c r="B16" s="16" t="s">
        <v>230</v>
      </c>
      <c r="C16" s="4" t="s">
        <v>231</v>
      </c>
      <c r="D16" s="16" t="s">
        <v>39</v>
      </c>
      <c r="E16" s="44" t="n">
        <v>1</v>
      </c>
      <c r="F16" s="44" t="n">
        <v>800000</v>
      </c>
      <c r="G16" s="32" t="n">
        <f aca="false">E16*F16</f>
        <v>800000</v>
      </c>
      <c r="H16" s="4"/>
      <c r="I16" s="16" t="s">
        <v>70</v>
      </c>
    </row>
    <row r="17" customFormat="false" ht="19.5" hidden="false" customHeight="true" outlineLevel="0" collapsed="false">
      <c r="A17" s="16"/>
      <c r="B17" s="16" t="s">
        <v>122</v>
      </c>
      <c r="C17" s="4" t="s">
        <v>123</v>
      </c>
      <c r="D17" s="16" t="s">
        <v>287</v>
      </c>
      <c r="E17" s="44" t="n">
        <v>2</v>
      </c>
      <c r="F17" s="44" t="n">
        <v>640000</v>
      </c>
      <c r="G17" s="32" t="n">
        <f aca="false">E17*F17</f>
        <v>1280000</v>
      </c>
      <c r="H17" s="8" t="s">
        <v>322</v>
      </c>
      <c r="I17" s="16" t="s">
        <v>70</v>
      </c>
    </row>
    <row r="18" customFormat="false" ht="19.5" hidden="false" customHeight="true" outlineLevel="0" collapsed="false">
      <c r="A18" s="16"/>
      <c r="B18" s="16" t="s">
        <v>128</v>
      </c>
      <c r="C18" s="8" t="s">
        <v>129</v>
      </c>
      <c r="D18" s="15" t="s">
        <v>281</v>
      </c>
      <c r="E18" s="44" t="n">
        <v>1</v>
      </c>
      <c r="F18" s="44" t="n">
        <v>3000000</v>
      </c>
      <c r="G18" s="32" t="n">
        <f aca="false">E18*F18</f>
        <v>3000000</v>
      </c>
      <c r="H18" s="4"/>
      <c r="I18" s="16" t="s">
        <v>70</v>
      </c>
    </row>
    <row r="19" customFormat="false" ht="19.5" hidden="false" customHeight="true" outlineLevel="0" collapsed="false">
      <c r="A19" s="16" t="s">
        <v>68</v>
      </c>
      <c r="B19" s="16" t="s">
        <v>233</v>
      </c>
      <c r="C19" s="8" t="s">
        <v>234</v>
      </c>
      <c r="D19" s="16" t="s">
        <v>39</v>
      </c>
      <c r="E19" s="44" t="n">
        <v>1</v>
      </c>
      <c r="F19" s="44" t="n">
        <v>900000</v>
      </c>
      <c r="G19" s="32" t="n">
        <f aca="false">E19*F19</f>
        <v>900000</v>
      </c>
      <c r="H19" s="8" t="s">
        <v>323</v>
      </c>
      <c r="I19" s="16" t="s">
        <v>68</v>
      </c>
    </row>
    <row r="20" customFormat="false" ht="19.5" hidden="false" customHeight="true" outlineLevel="0" collapsed="false">
      <c r="A20" s="16"/>
      <c r="B20" s="16" t="s">
        <v>132</v>
      </c>
      <c r="C20" s="8" t="s">
        <v>235</v>
      </c>
      <c r="D20" s="16" t="s">
        <v>39</v>
      </c>
      <c r="E20" s="44" t="n">
        <v>1</v>
      </c>
      <c r="F20" s="44" t="n">
        <v>1000000</v>
      </c>
      <c r="G20" s="32" t="n">
        <f aca="false">E20*F20</f>
        <v>1000000</v>
      </c>
      <c r="H20" s="4"/>
      <c r="I20" s="16" t="s">
        <v>68</v>
      </c>
    </row>
    <row r="21" customFormat="false" ht="19.5" hidden="false" customHeight="true" outlineLevel="0" collapsed="false">
      <c r="A21" s="16" t="s">
        <v>283</v>
      </c>
      <c r="B21" s="16" t="s">
        <v>134</v>
      </c>
      <c r="C21" s="8" t="s">
        <v>135</v>
      </c>
      <c r="D21" s="16" t="s">
        <v>284</v>
      </c>
      <c r="E21" s="44" t="n">
        <v>242</v>
      </c>
      <c r="F21" s="44" t="n">
        <v>5000</v>
      </c>
      <c r="G21" s="32" t="n">
        <f aca="false">E21*F21</f>
        <v>1210000</v>
      </c>
      <c r="H21" s="4" t="s">
        <v>324</v>
      </c>
      <c r="I21" s="16" t="s">
        <v>70</v>
      </c>
    </row>
    <row r="22" customFormat="false" ht="19.5" hidden="false" customHeight="true" outlineLevel="0" collapsed="false">
      <c r="A22" s="16"/>
      <c r="B22" s="16" t="s">
        <v>138</v>
      </c>
      <c r="C22" s="8" t="s">
        <v>139</v>
      </c>
      <c r="D22" s="16" t="s">
        <v>273</v>
      </c>
      <c r="E22" s="44" t="n">
        <v>2</v>
      </c>
      <c r="F22" s="44" t="n">
        <v>250000</v>
      </c>
      <c r="G22" s="32" t="n">
        <f aca="false">E22*F22</f>
        <v>500000</v>
      </c>
      <c r="H22" s="4"/>
      <c r="I22" s="16" t="s">
        <v>69</v>
      </c>
    </row>
    <row r="23" customFormat="false" ht="19.5" hidden="false" customHeight="true" outlineLevel="0" collapsed="false">
      <c r="A23" s="16"/>
      <c r="B23" s="16" t="s">
        <v>142</v>
      </c>
      <c r="C23" s="4" t="s">
        <v>143</v>
      </c>
      <c r="D23" s="16" t="s">
        <v>287</v>
      </c>
      <c r="E23" s="44" t="n">
        <v>2</v>
      </c>
      <c r="F23" s="44" t="n">
        <v>260000</v>
      </c>
      <c r="G23" s="32" t="n">
        <f aca="false">E23*F23</f>
        <v>520000</v>
      </c>
      <c r="H23" s="4"/>
      <c r="I23" s="16" t="s">
        <v>70</v>
      </c>
    </row>
    <row r="24" customFormat="false" ht="19.5" hidden="false" customHeight="true" outlineLevel="0" collapsed="false">
      <c r="A24" s="16"/>
      <c r="B24" s="16" t="s">
        <v>145</v>
      </c>
      <c r="C24" s="4"/>
      <c r="D24" s="16" t="s">
        <v>39</v>
      </c>
      <c r="E24" s="44" t="n">
        <v>1</v>
      </c>
      <c r="F24" s="44" t="n">
        <v>380000</v>
      </c>
      <c r="G24" s="32" t="n">
        <f aca="false">E24*F24</f>
        <v>380000</v>
      </c>
      <c r="H24" s="4"/>
      <c r="I24" s="16" t="s">
        <v>68</v>
      </c>
    </row>
    <row r="25" customFormat="false" ht="19.5" hidden="false" customHeight="true" outlineLevel="0" collapsed="false">
      <c r="A25" s="16" t="s">
        <v>70</v>
      </c>
      <c r="B25" s="16" t="s">
        <v>70</v>
      </c>
      <c r="C25" s="8" t="s">
        <v>146</v>
      </c>
      <c r="D25" s="16" t="s">
        <v>39</v>
      </c>
      <c r="E25" s="44" t="n">
        <v>1</v>
      </c>
      <c r="F25" s="44" t="n">
        <v>600000</v>
      </c>
      <c r="G25" s="32" t="n">
        <f aca="false">E25*F25</f>
        <v>600000</v>
      </c>
      <c r="H25" s="4"/>
      <c r="I25" s="16" t="s">
        <v>70</v>
      </c>
    </row>
    <row r="26" customFormat="false" ht="19.5" hidden="false" customHeight="true" outlineLevel="0" collapsed="false">
      <c r="A26" s="45" t="s">
        <v>289</v>
      </c>
      <c r="B26" s="45"/>
      <c r="C26" s="45"/>
      <c r="D26" s="45"/>
      <c r="E26" s="45"/>
      <c r="F26" s="45"/>
      <c r="G26" s="46" t="n">
        <f aca="false">SUMIF($I$8:$I$25,"재료비",$G$8:$G$25)</f>
        <v>2280000</v>
      </c>
      <c r="H26" s="19"/>
      <c r="I26" s="19"/>
    </row>
    <row r="27" customFormat="false" ht="19.5" hidden="false" customHeight="true" outlineLevel="0" collapsed="false">
      <c r="A27" s="45" t="s">
        <v>290</v>
      </c>
      <c r="B27" s="45"/>
      <c r="C27" s="45"/>
      <c r="D27" s="45"/>
      <c r="E27" s="45"/>
      <c r="F27" s="45"/>
      <c r="G27" s="46" t="n">
        <f aca="false">SUMIF($I$8:$I$25,"노무비",$G$8:$G$25)</f>
        <v>10000000</v>
      </c>
      <c r="H27" s="19"/>
      <c r="I27" s="19"/>
    </row>
    <row r="28" customFormat="false" ht="19.5" hidden="false" customHeight="true" outlineLevel="0" collapsed="false">
      <c r="A28" s="45" t="s">
        <v>291</v>
      </c>
      <c r="B28" s="45"/>
      <c r="C28" s="45"/>
      <c r="D28" s="45"/>
      <c r="E28" s="45"/>
      <c r="F28" s="45"/>
      <c r="G28" s="46" t="n">
        <f aca="false">SUMIF($I$8:$I$25,"경비",$G$8:$G$25)</f>
        <v>18610000</v>
      </c>
      <c r="H28" s="19"/>
      <c r="I28" s="19"/>
    </row>
    <row r="29" customFormat="false" ht="19.5" hidden="false" customHeight="true" outlineLevel="0" collapsed="false">
      <c r="A29" s="45" t="s">
        <v>71</v>
      </c>
      <c r="B29" s="45"/>
      <c r="C29" s="45"/>
      <c r="D29" s="45"/>
      <c r="E29" s="45"/>
      <c r="F29" s="45"/>
      <c r="G29" s="46" t="n">
        <f aca="false">G27*요율근거!$C$5</f>
        <v>356000</v>
      </c>
      <c r="H29" s="42" t="s">
        <v>292</v>
      </c>
      <c r="I29" s="42"/>
    </row>
    <row r="30" customFormat="false" ht="19.5" hidden="false" customHeight="true" outlineLevel="0" collapsed="false">
      <c r="A30" s="45" t="s">
        <v>72</v>
      </c>
      <c r="B30" s="45"/>
      <c r="C30" s="45"/>
      <c r="D30" s="45"/>
      <c r="E30" s="45"/>
      <c r="F30" s="45"/>
      <c r="G30" s="46" t="n">
        <f aca="false">G27*요율근거!$C$6</f>
        <v>115000</v>
      </c>
      <c r="H30" s="42" t="s">
        <v>293</v>
      </c>
      <c r="I30" s="42"/>
    </row>
    <row r="31" customFormat="false" ht="19.5" hidden="false" customHeight="true" outlineLevel="0" collapsed="false">
      <c r="A31" s="45" t="s">
        <v>73</v>
      </c>
      <c r="B31" s="45"/>
      <c r="C31" s="45"/>
      <c r="D31" s="45"/>
      <c r="E31" s="45"/>
      <c r="F31" s="45"/>
      <c r="G31" s="46" t="n">
        <f aca="false">(G26+G27)*요율근거!$C$7</f>
        <v>381908</v>
      </c>
      <c r="H31" s="19" t="s">
        <v>294</v>
      </c>
      <c r="I31" s="19"/>
    </row>
    <row r="32" customFormat="false" ht="19.5" hidden="false" customHeight="true" outlineLevel="0" collapsed="false">
      <c r="A32" s="3" t="s">
        <v>74</v>
      </c>
      <c r="B32" s="3"/>
      <c r="C32" s="3"/>
      <c r="D32" s="3"/>
      <c r="E32" s="3"/>
      <c r="F32" s="3"/>
      <c r="G32" s="18" t="n">
        <f aca="false">SUM(G26:G31)</f>
        <v>31742908</v>
      </c>
      <c r="H32" s="19"/>
      <c r="I32" s="19"/>
    </row>
    <row r="33" customFormat="false" ht="19.5" hidden="false" customHeight="true" outlineLevel="0" collapsed="false">
      <c r="A33" s="45" t="s">
        <v>75</v>
      </c>
      <c r="B33" s="45"/>
      <c r="C33" s="45"/>
      <c r="D33" s="45"/>
      <c r="E33" s="45"/>
      <c r="F33" s="45"/>
      <c r="G33" s="46" t="n">
        <f aca="false">G32*요율근거!$C$8</f>
        <v>1587145.4</v>
      </c>
      <c r="H33" s="42" t="s">
        <v>295</v>
      </c>
      <c r="I33" s="42"/>
    </row>
    <row r="34" customFormat="false" ht="19.5" hidden="false" customHeight="true" outlineLevel="0" collapsed="false">
      <c r="A34" s="45" t="s">
        <v>76</v>
      </c>
      <c r="B34" s="45"/>
      <c r="C34" s="45"/>
      <c r="D34" s="45"/>
      <c r="E34" s="45"/>
      <c r="F34" s="45"/>
      <c r="G34" s="46" t="n">
        <f aca="false">(G27+G28+G29+G30+G31+G33)*요율근거!$C$12</f>
        <v>3726006.408</v>
      </c>
      <c r="H34" s="19" t="s">
        <v>296</v>
      </c>
      <c r="I34" s="19"/>
    </row>
    <row r="35" customFormat="false" ht="19.5" hidden="false" customHeight="true" outlineLevel="0" collapsed="false">
      <c r="A35" s="45" t="s">
        <v>77</v>
      </c>
      <c r="B35" s="45"/>
      <c r="C35" s="45"/>
      <c r="D35" s="45"/>
      <c r="E35" s="45"/>
      <c r="F35" s="45"/>
      <c r="G35" s="46" t="n">
        <f aca="false">-MOD(G32+G33+G34,1000)</f>
        <v>-59.8079999983311</v>
      </c>
      <c r="H35" s="42" t="s">
        <v>297</v>
      </c>
      <c r="I35" s="42"/>
    </row>
    <row r="36" customFormat="false" ht="19.5" hidden="false" customHeight="true" outlineLevel="0" collapsed="false">
      <c r="A36" s="47" t="s">
        <v>150</v>
      </c>
      <c r="B36" s="47"/>
      <c r="C36" s="47"/>
      <c r="D36" s="47"/>
      <c r="E36" s="47"/>
      <c r="F36" s="47"/>
      <c r="G36" s="48" t="n">
        <f aca="false">G32+G33+G34+G35</f>
        <v>37056000</v>
      </c>
      <c r="H36" s="10" t="s">
        <v>298</v>
      </c>
      <c r="I36" s="10"/>
    </row>
    <row r="38" customFormat="false" ht="13.4" hidden="false" customHeight="false" outlineLevel="0" collapsed="false">
      <c r="A38" s="49" t="s">
        <v>299</v>
      </c>
      <c r="B38" s="49"/>
      <c r="C38" s="49"/>
      <c r="D38" s="49"/>
      <c r="E38" s="49"/>
      <c r="F38" s="49"/>
      <c r="G38" s="49"/>
      <c r="H38" s="49"/>
      <c r="I38" s="49"/>
    </row>
    <row r="39" customFormat="false" ht="13.4" hidden="false" customHeight="false" outlineLevel="0" collapsed="false">
      <c r="A39" s="49" t="s">
        <v>300</v>
      </c>
      <c r="B39" s="49"/>
      <c r="C39" s="49"/>
      <c r="D39" s="49"/>
      <c r="E39" s="49"/>
      <c r="F39" s="49"/>
      <c r="G39" s="49"/>
      <c r="H39" s="49"/>
      <c r="I39" s="49"/>
    </row>
  </sheetData>
  <mergeCells count="31">
    <mergeCell ref="A1:I2"/>
    <mergeCell ref="A3:I3"/>
    <mergeCell ref="A5:I5"/>
    <mergeCell ref="A8:A10"/>
    <mergeCell ref="A11:A18"/>
    <mergeCell ref="A19:A20"/>
    <mergeCell ref="A21:A24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6:F36"/>
    <mergeCell ref="H36:I36"/>
    <mergeCell ref="A38:I38"/>
    <mergeCell ref="A39:I39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325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270</v>
      </c>
      <c r="F7" s="14" t="s">
        <v>271</v>
      </c>
      <c r="G7" s="14" t="s">
        <v>272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152</v>
      </c>
      <c r="C8" s="4" t="s">
        <v>153</v>
      </c>
      <c r="D8" s="16" t="s">
        <v>273</v>
      </c>
      <c r="E8" s="44" t="n">
        <v>9</v>
      </c>
      <c r="F8" s="44" t="n">
        <v>500000</v>
      </c>
      <c r="G8" s="32" t="n">
        <f aca="false">E8*F8</f>
        <v>4500000</v>
      </c>
      <c r="H8" s="4" t="s">
        <v>302</v>
      </c>
      <c r="I8" s="16" t="s">
        <v>69</v>
      </c>
    </row>
    <row r="9" customFormat="false" ht="19.5" hidden="false" customHeight="true" outlineLevel="0" collapsed="false">
      <c r="A9" s="16"/>
      <c r="B9" s="16" t="s">
        <v>157</v>
      </c>
      <c r="C9" s="8" t="s">
        <v>158</v>
      </c>
      <c r="D9" s="16" t="s">
        <v>273</v>
      </c>
      <c r="E9" s="44" t="n">
        <v>6</v>
      </c>
      <c r="F9" s="44" t="n">
        <v>350000</v>
      </c>
      <c r="G9" s="32" t="n">
        <f aca="false">E9*F9</f>
        <v>2100000</v>
      </c>
      <c r="H9" s="4" t="s">
        <v>303</v>
      </c>
      <c r="I9" s="16" t="s">
        <v>69</v>
      </c>
    </row>
    <row r="10" customFormat="false" ht="19.5" hidden="false" customHeight="true" outlineLevel="0" collapsed="false">
      <c r="A10" s="16"/>
      <c r="B10" s="16" t="s">
        <v>161</v>
      </c>
      <c r="C10" s="8" t="s">
        <v>162</v>
      </c>
      <c r="D10" s="16" t="s">
        <v>273</v>
      </c>
      <c r="E10" s="44" t="n">
        <v>4</v>
      </c>
      <c r="F10" s="44" t="n">
        <v>300000</v>
      </c>
      <c r="G10" s="32" t="n">
        <f aca="false">E10*F10</f>
        <v>1200000</v>
      </c>
      <c r="H10" s="4" t="s">
        <v>304</v>
      </c>
      <c r="I10" s="16" t="s">
        <v>69</v>
      </c>
    </row>
    <row r="11" customFormat="false" ht="19.5" hidden="false" customHeight="true" outlineLevel="0" collapsed="false">
      <c r="A11" s="16"/>
      <c r="B11" s="16" t="s">
        <v>165</v>
      </c>
      <c r="C11" s="8" t="s">
        <v>166</v>
      </c>
      <c r="D11" s="16" t="s">
        <v>273</v>
      </c>
      <c r="E11" s="44" t="n">
        <v>4</v>
      </c>
      <c r="F11" s="44" t="n">
        <v>200000</v>
      </c>
      <c r="G11" s="32" t="n">
        <f aca="false">E11*F11</f>
        <v>800000</v>
      </c>
      <c r="H11" s="4" t="s">
        <v>304</v>
      </c>
      <c r="I11" s="16" t="s">
        <v>69</v>
      </c>
    </row>
    <row r="12" customFormat="false" ht="19.5" hidden="false" customHeight="true" outlineLevel="0" collapsed="false">
      <c r="A12" s="16"/>
      <c r="B12" s="16" t="s">
        <v>168</v>
      </c>
      <c r="C12" s="8" t="s">
        <v>169</v>
      </c>
      <c r="D12" s="16" t="s">
        <v>273</v>
      </c>
      <c r="E12" s="44" t="n">
        <v>5</v>
      </c>
      <c r="F12" s="44" t="n">
        <v>250000</v>
      </c>
      <c r="G12" s="32" t="n">
        <f aca="false">E12*F12</f>
        <v>1250000</v>
      </c>
      <c r="H12" s="4" t="s">
        <v>305</v>
      </c>
      <c r="I12" s="16" t="s">
        <v>69</v>
      </c>
    </row>
    <row r="13" customFormat="false" ht="19.5" hidden="false" customHeight="true" outlineLevel="0" collapsed="false">
      <c r="A13" s="16" t="s">
        <v>277</v>
      </c>
      <c r="B13" s="15" t="s">
        <v>172</v>
      </c>
      <c r="C13" s="4" t="s">
        <v>173</v>
      </c>
      <c r="D13" s="16" t="s">
        <v>278</v>
      </c>
      <c r="E13" s="44" t="n">
        <v>9</v>
      </c>
      <c r="F13" s="44" t="n">
        <v>400000</v>
      </c>
      <c r="G13" s="32" t="n">
        <f aca="false">E13*F13</f>
        <v>3600000</v>
      </c>
      <c r="H13" s="4" t="s">
        <v>306</v>
      </c>
      <c r="I13" s="16" t="s">
        <v>70</v>
      </c>
    </row>
    <row r="14" customFormat="false" ht="19.5" hidden="false" customHeight="true" outlineLevel="0" collapsed="false">
      <c r="A14" s="16"/>
      <c r="B14" s="16" t="s">
        <v>175</v>
      </c>
      <c r="C14" s="8" t="s">
        <v>176</v>
      </c>
      <c r="D14" s="15" t="s">
        <v>281</v>
      </c>
      <c r="E14" s="44" t="n">
        <v>1</v>
      </c>
      <c r="F14" s="44" t="n">
        <v>800000</v>
      </c>
      <c r="G14" s="32" t="n">
        <f aca="false">E14*F14</f>
        <v>800000</v>
      </c>
      <c r="H14" s="4"/>
      <c r="I14" s="16" t="s">
        <v>70</v>
      </c>
    </row>
    <row r="15" customFormat="false" ht="19.5" hidden="false" customHeight="true" outlineLevel="0" collapsed="false">
      <c r="A15" s="16" t="s">
        <v>68</v>
      </c>
      <c r="B15" s="16" t="s">
        <v>177</v>
      </c>
      <c r="C15" s="4" t="s">
        <v>178</v>
      </c>
      <c r="D15" s="16" t="s">
        <v>39</v>
      </c>
      <c r="E15" s="44" t="n">
        <v>1</v>
      </c>
      <c r="F15" s="44" t="n">
        <v>3680000</v>
      </c>
      <c r="G15" s="32" t="n">
        <f aca="false">E15*F15</f>
        <v>3680000</v>
      </c>
      <c r="H15" s="4"/>
      <c r="I15" s="16" t="s">
        <v>68</v>
      </c>
    </row>
    <row r="16" customFormat="false" ht="19.5" hidden="false" customHeight="true" outlineLevel="0" collapsed="false">
      <c r="A16" s="16" t="s">
        <v>277</v>
      </c>
      <c r="B16" s="16" t="s">
        <v>180</v>
      </c>
      <c r="C16" s="4"/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70</v>
      </c>
    </row>
    <row r="17" customFormat="false" ht="19.5" hidden="false" customHeight="true" outlineLevel="0" collapsed="false">
      <c r="A17" s="16" t="s">
        <v>70</v>
      </c>
      <c r="B17" s="16" t="s">
        <v>70</v>
      </c>
      <c r="C17" s="8" t="s">
        <v>182</v>
      </c>
      <c r="D17" s="16" t="s">
        <v>39</v>
      </c>
      <c r="E17" s="44" t="n">
        <v>1</v>
      </c>
      <c r="F17" s="44" t="n">
        <v>1500000</v>
      </c>
      <c r="G17" s="32" t="n">
        <f aca="false">E17*F17</f>
        <v>1500000</v>
      </c>
      <c r="H17" s="4"/>
      <c r="I17" s="16" t="s">
        <v>70</v>
      </c>
    </row>
    <row r="18" customFormat="false" ht="19.5" hidden="false" customHeight="true" outlineLevel="0" collapsed="false">
      <c r="A18" s="45" t="s">
        <v>289</v>
      </c>
      <c r="B18" s="45"/>
      <c r="C18" s="45"/>
      <c r="D18" s="45"/>
      <c r="E18" s="45"/>
      <c r="F18" s="45"/>
      <c r="G18" s="46" t="n">
        <f aca="false">SUMIF($I$8:$I$17,"재료비",$G$8:$G$17)</f>
        <v>3680000</v>
      </c>
      <c r="H18" s="19"/>
      <c r="I18" s="19"/>
    </row>
    <row r="19" customFormat="false" ht="19.5" hidden="false" customHeight="true" outlineLevel="0" collapsed="false">
      <c r="A19" s="45" t="s">
        <v>290</v>
      </c>
      <c r="B19" s="45"/>
      <c r="C19" s="45"/>
      <c r="D19" s="45"/>
      <c r="E19" s="45"/>
      <c r="F19" s="45"/>
      <c r="G19" s="46" t="n">
        <f aca="false">SUMIF($I$8:$I$17,"노무비",$G$8:$G$17)</f>
        <v>9850000</v>
      </c>
      <c r="H19" s="19"/>
      <c r="I19" s="19"/>
    </row>
    <row r="20" customFormat="false" ht="19.5" hidden="false" customHeight="true" outlineLevel="0" collapsed="false">
      <c r="A20" s="45" t="s">
        <v>291</v>
      </c>
      <c r="B20" s="45"/>
      <c r="C20" s="45"/>
      <c r="D20" s="45"/>
      <c r="E20" s="45"/>
      <c r="F20" s="45"/>
      <c r="G20" s="46" t="n">
        <f aca="false">SUMIF($I$8:$I$17,"경비",$G$8:$G$17)</f>
        <v>6900000</v>
      </c>
      <c r="H20" s="19"/>
      <c r="I20" s="19"/>
    </row>
    <row r="21" customFormat="false" ht="19.5" hidden="false" customHeight="true" outlineLevel="0" collapsed="false">
      <c r="A21" s="45" t="s">
        <v>71</v>
      </c>
      <c r="B21" s="45"/>
      <c r="C21" s="45"/>
      <c r="D21" s="45"/>
      <c r="E21" s="45"/>
      <c r="F21" s="45"/>
      <c r="G21" s="46" t="n">
        <f aca="false">G19*요율근거!$C$5</f>
        <v>350660</v>
      </c>
      <c r="H21" s="42" t="s">
        <v>292</v>
      </c>
      <c r="I21" s="42"/>
    </row>
    <row r="22" customFormat="false" ht="19.5" hidden="false" customHeight="true" outlineLevel="0" collapsed="false">
      <c r="A22" s="45" t="s">
        <v>72</v>
      </c>
      <c r="B22" s="45"/>
      <c r="C22" s="45"/>
      <c r="D22" s="45"/>
      <c r="E22" s="45"/>
      <c r="F22" s="45"/>
      <c r="G22" s="46" t="n">
        <f aca="false">G19*요율근거!$C$6</f>
        <v>113275</v>
      </c>
      <c r="H22" s="42" t="s">
        <v>293</v>
      </c>
      <c r="I22" s="42"/>
    </row>
    <row r="23" customFormat="false" ht="19.5" hidden="false" customHeight="true" outlineLevel="0" collapsed="false">
      <c r="A23" s="45" t="s">
        <v>73</v>
      </c>
      <c r="B23" s="45"/>
      <c r="C23" s="45"/>
      <c r="D23" s="45"/>
      <c r="E23" s="45"/>
      <c r="F23" s="45"/>
      <c r="G23" s="46" t="n">
        <f aca="false">(G18+G19)*요율근거!$C$7</f>
        <v>420783</v>
      </c>
      <c r="H23" s="19" t="s">
        <v>294</v>
      </c>
      <c r="I23" s="19"/>
    </row>
    <row r="24" customFormat="false" ht="19.5" hidden="false" customHeight="true" outlineLevel="0" collapsed="false">
      <c r="A24" s="3" t="s">
        <v>74</v>
      </c>
      <c r="B24" s="3"/>
      <c r="C24" s="3"/>
      <c r="D24" s="3"/>
      <c r="E24" s="3"/>
      <c r="F24" s="3"/>
      <c r="G24" s="18" t="n">
        <f aca="false">SUM(G18:G23)</f>
        <v>21314718</v>
      </c>
      <c r="H24" s="19"/>
      <c r="I24" s="19"/>
    </row>
    <row r="25" customFormat="false" ht="19.5" hidden="false" customHeight="true" outlineLevel="0" collapsed="false">
      <c r="A25" s="45" t="s">
        <v>75</v>
      </c>
      <c r="B25" s="45"/>
      <c r="C25" s="45"/>
      <c r="D25" s="45"/>
      <c r="E25" s="45"/>
      <c r="F25" s="45"/>
      <c r="G25" s="46" t="n">
        <f aca="false">G24*요율근거!$C$8</f>
        <v>1065735.9</v>
      </c>
      <c r="H25" s="42" t="s">
        <v>295</v>
      </c>
      <c r="I25" s="42"/>
    </row>
    <row r="26" customFormat="false" ht="19.5" hidden="false" customHeight="true" outlineLevel="0" collapsed="false">
      <c r="A26" s="45" t="s">
        <v>76</v>
      </c>
      <c r="B26" s="45"/>
      <c r="C26" s="45"/>
      <c r="D26" s="45"/>
      <c r="E26" s="45"/>
      <c r="F26" s="45"/>
      <c r="G26" s="46" t="n">
        <f aca="false">(G19+G20+G21+G22+G23+G25)*요율근거!$C$13</f>
        <v>2244054.468</v>
      </c>
      <c r="H26" s="19" t="s">
        <v>296</v>
      </c>
      <c r="I26" s="19"/>
    </row>
    <row r="27" customFormat="false" ht="19.5" hidden="false" customHeight="true" outlineLevel="0" collapsed="false">
      <c r="A27" s="45" t="s">
        <v>77</v>
      </c>
      <c r="B27" s="45"/>
      <c r="C27" s="45"/>
      <c r="D27" s="45"/>
      <c r="E27" s="45"/>
      <c r="F27" s="45"/>
      <c r="G27" s="46" t="n">
        <f aca="false">-MOD(G24+G25+G26,1000)</f>
        <v>-508.36799999699</v>
      </c>
      <c r="H27" s="42" t="s">
        <v>297</v>
      </c>
      <c r="I27" s="42"/>
    </row>
    <row r="28" customFormat="false" ht="19.5" hidden="false" customHeight="true" outlineLevel="0" collapsed="false">
      <c r="A28" s="47" t="s">
        <v>150</v>
      </c>
      <c r="B28" s="47"/>
      <c r="C28" s="47"/>
      <c r="D28" s="47"/>
      <c r="E28" s="47"/>
      <c r="F28" s="47"/>
      <c r="G28" s="48" t="n">
        <f aca="false">G24+G25+G26+G27</f>
        <v>24624000</v>
      </c>
      <c r="H28" s="10" t="s">
        <v>298</v>
      </c>
      <c r="I28" s="10"/>
    </row>
    <row r="30" customFormat="false" ht="13.4" hidden="false" customHeight="false" outlineLevel="0" collapsed="false">
      <c r="A30" s="49" t="s">
        <v>299</v>
      </c>
      <c r="B30" s="49"/>
      <c r="C30" s="49"/>
      <c r="D30" s="49"/>
      <c r="E30" s="49"/>
      <c r="F30" s="49"/>
      <c r="G30" s="49"/>
      <c r="H30" s="49"/>
      <c r="I30" s="49"/>
    </row>
    <row r="31" customFormat="false" ht="13.4" hidden="false" customHeight="false" outlineLevel="0" collapsed="false">
      <c r="A31" s="49" t="s">
        <v>300</v>
      </c>
      <c r="B31" s="49"/>
      <c r="C31" s="49"/>
      <c r="D31" s="49"/>
      <c r="E31" s="49"/>
      <c r="F31" s="49"/>
      <c r="G31" s="49"/>
      <c r="H31" s="49"/>
      <c r="I31" s="49"/>
    </row>
  </sheetData>
  <mergeCells count="29">
    <mergeCell ref="A1:I2"/>
    <mergeCell ref="A3:I3"/>
    <mergeCell ref="A5:I5"/>
    <mergeCell ref="A8:A12"/>
    <mergeCell ref="A13:A14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30:I30"/>
    <mergeCell ref="A31:I3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326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270</v>
      </c>
      <c r="F7" s="14" t="s">
        <v>271</v>
      </c>
      <c r="G7" s="14" t="s">
        <v>272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68</v>
      </c>
      <c r="B8" s="16" t="s">
        <v>240</v>
      </c>
      <c r="C8" s="4" t="s">
        <v>241</v>
      </c>
      <c r="D8" s="15" t="s">
        <v>308</v>
      </c>
      <c r="E8" s="44" t="n">
        <v>1248</v>
      </c>
      <c r="F8" s="44" t="n">
        <v>700</v>
      </c>
      <c r="G8" s="32" t="n">
        <f aca="false">E8*F8</f>
        <v>873600</v>
      </c>
      <c r="H8" s="4" t="s">
        <v>327</v>
      </c>
      <c r="I8" s="16" t="s">
        <v>68</v>
      </c>
    </row>
    <row r="9" customFormat="false" ht="19.5" hidden="false" customHeight="true" outlineLevel="0" collapsed="false">
      <c r="A9" s="16"/>
      <c r="B9" s="16" t="s">
        <v>243</v>
      </c>
      <c r="C9" s="8" t="s">
        <v>244</v>
      </c>
      <c r="D9" s="16" t="s">
        <v>287</v>
      </c>
      <c r="E9" s="44" t="n">
        <v>2</v>
      </c>
      <c r="F9" s="44" t="n">
        <v>160000</v>
      </c>
      <c r="G9" s="32" t="n">
        <f aca="false">E9*F9</f>
        <v>320000</v>
      </c>
      <c r="H9" s="4"/>
      <c r="I9" s="16" t="s">
        <v>68</v>
      </c>
    </row>
    <row r="10" customFormat="false" ht="19.5" hidden="false" customHeight="true" outlineLevel="0" collapsed="false">
      <c r="A10" s="16"/>
      <c r="B10" s="16" t="s">
        <v>177</v>
      </c>
      <c r="C10" s="8" t="s">
        <v>192</v>
      </c>
      <c r="D10" s="16" t="s">
        <v>39</v>
      </c>
      <c r="E10" s="44" t="n">
        <v>1</v>
      </c>
      <c r="F10" s="44" t="n">
        <v>420000</v>
      </c>
      <c r="G10" s="32" t="n">
        <f aca="false">E10*F10</f>
        <v>420000</v>
      </c>
      <c r="H10" s="4"/>
      <c r="I10" s="16" t="s">
        <v>68</v>
      </c>
    </row>
    <row r="11" customFormat="false" ht="19.5" hidden="false" customHeight="true" outlineLevel="0" collapsed="false">
      <c r="A11" s="16"/>
      <c r="B11" s="16" t="s">
        <v>195</v>
      </c>
      <c r="C11" s="8" t="s">
        <v>196</v>
      </c>
      <c r="D11" s="16" t="s">
        <v>39</v>
      </c>
      <c r="E11" s="44" t="n">
        <v>1</v>
      </c>
      <c r="F11" s="44" t="n">
        <v>230000</v>
      </c>
      <c r="G11" s="32" t="n">
        <f aca="false">E11*F11</f>
        <v>230000</v>
      </c>
      <c r="H11" s="4"/>
      <c r="I11" s="16" t="s">
        <v>68</v>
      </c>
    </row>
    <row r="12" customFormat="false" ht="19.5" hidden="false" customHeight="true" outlineLevel="0" collapsed="false">
      <c r="A12" s="16"/>
      <c r="B12" s="16" t="s">
        <v>247</v>
      </c>
      <c r="C12" s="8" t="s">
        <v>248</v>
      </c>
      <c r="D12" s="16" t="s">
        <v>39</v>
      </c>
      <c r="E12" s="44" t="n">
        <v>1</v>
      </c>
      <c r="F12" s="44" t="n">
        <v>380000</v>
      </c>
      <c r="G12" s="32" t="n">
        <f aca="false">E12*F12</f>
        <v>380000</v>
      </c>
      <c r="H12" s="8" t="s">
        <v>328</v>
      </c>
      <c r="I12" s="16" t="s">
        <v>68</v>
      </c>
    </row>
    <row r="13" customFormat="false" ht="19.5" hidden="false" customHeight="true" outlineLevel="0" collapsed="false">
      <c r="A13" s="16" t="s">
        <v>69</v>
      </c>
      <c r="B13" s="16" t="s">
        <v>197</v>
      </c>
      <c r="C13" s="8" t="s">
        <v>249</v>
      </c>
      <c r="D13" s="16" t="s">
        <v>273</v>
      </c>
      <c r="E13" s="44" t="n">
        <v>2</v>
      </c>
      <c r="F13" s="44" t="n">
        <v>350000</v>
      </c>
      <c r="G13" s="32" t="n">
        <f aca="false">E13*F13</f>
        <v>700000</v>
      </c>
      <c r="H13" s="4" t="s">
        <v>329</v>
      </c>
      <c r="I13" s="16" t="s">
        <v>69</v>
      </c>
    </row>
    <row r="14" customFormat="false" ht="19.5" hidden="false" customHeight="true" outlineLevel="0" collapsed="false">
      <c r="A14" s="16"/>
      <c r="B14" s="16" t="s">
        <v>152</v>
      </c>
      <c r="C14" s="8" t="s">
        <v>251</v>
      </c>
      <c r="D14" s="16" t="s">
        <v>273</v>
      </c>
      <c r="E14" s="44" t="n">
        <v>2</v>
      </c>
      <c r="F14" s="44" t="n">
        <v>500000</v>
      </c>
      <c r="G14" s="32" t="n">
        <f aca="false">E14*F14</f>
        <v>1000000</v>
      </c>
      <c r="H14" s="4" t="s">
        <v>329</v>
      </c>
      <c r="I14" s="16" t="s">
        <v>69</v>
      </c>
    </row>
    <row r="15" customFormat="false" ht="19.5" hidden="false" customHeight="true" outlineLevel="0" collapsed="false">
      <c r="A15" s="16"/>
      <c r="B15" s="16" t="s">
        <v>165</v>
      </c>
      <c r="C15" s="8" t="s">
        <v>253</v>
      </c>
      <c r="D15" s="16" t="s">
        <v>273</v>
      </c>
      <c r="E15" s="44" t="n">
        <v>2</v>
      </c>
      <c r="F15" s="44" t="n">
        <v>200000</v>
      </c>
      <c r="G15" s="32" t="n">
        <f aca="false">E15*F15</f>
        <v>400000</v>
      </c>
      <c r="H15" s="4" t="s">
        <v>329</v>
      </c>
      <c r="I15" s="16" t="s">
        <v>69</v>
      </c>
    </row>
    <row r="16" customFormat="false" ht="19.5" hidden="false" customHeight="true" outlineLevel="0" collapsed="false">
      <c r="A16" s="16"/>
      <c r="B16" s="16" t="s">
        <v>168</v>
      </c>
      <c r="C16" s="8" t="s">
        <v>255</v>
      </c>
      <c r="D16" s="16" t="s">
        <v>273</v>
      </c>
      <c r="E16" s="44" t="n">
        <v>1</v>
      </c>
      <c r="F16" s="44" t="n">
        <v>250000</v>
      </c>
      <c r="G16" s="32" t="n">
        <f aca="false">E16*F16</f>
        <v>250000</v>
      </c>
      <c r="H16" s="4" t="s">
        <v>330</v>
      </c>
      <c r="I16" s="16" t="s">
        <v>69</v>
      </c>
    </row>
    <row r="17" customFormat="false" ht="19.5" hidden="false" customHeight="true" outlineLevel="0" collapsed="false">
      <c r="A17" s="16"/>
      <c r="B17" s="16" t="s">
        <v>197</v>
      </c>
      <c r="C17" s="8" t="s">
        <v>257</v>
      </c>
      <c r="D17" s="16" t="s">
        <v>273</v>
      </c>
      <c r="E17" s="44" t="n">
        <v>4</v>
      </c>
      <c r="F17" s="44" t="n">
        <v>350000</v>
      </c>
      <c r="G17" s="32" t="n">
        <f aca="false">E17*F17</f>
        <v>1400000</v>
      </c>
      <c r="H17" s="4" t="s">
        <v>331</v>
      </c>
      <c r="I17" s="16" t="s">
        <v>69</v>
      </c>
    </row>
    <row r="18" customFormat="false" ht="19.5" hidden="false" customHeight="true" outlineLevel="0" collapsed="false">
      <c r="A18" s="16"/>
      <c r="B18" s="16" t="s">
        <v>165</v>
      </c>
      <c r="C18" s="8" t="s">
        <v>260</v>
      </c>
      <c r="D18" s="16" t="s">
        <v>273</v>
      </c>
      <c r="E18" s="44" t="n">
        <v>4</v>
      </c>
      <c r="F18" s="44" t="n">
        <v>200000</v>
      </c>
      <c r="G18" s="32" t="n">
        <f aca="false">E18*F18</f>
        <v>800000</v>
      </c>
      <c r="H18" s="4" t="s">
        <v>304</v>
      </c>
      <c r="I18" s="16" t="s">
        <v>69</v>
      </c>
    </row>
    <row r="19" customFormat="false" ht="19.5" hidden="false" customHeight="true" outlineLevel="0" collapsed="false">
      <c r="A19" s="16"/>
      <c r="B19" s="16" t="s">
        <v>261</v>
      </c>
      <c r="C19" s="8" t="s">
        <v>262</v>
      </c>
      <c r="D19" s="16" t="s">
        <v>273</v>
      </c>
      <c r="E19" s="44" t="n">
        <v>4</v>
      </c>
      <c r="F19" s="44" t="n">
        <v>350000</v>
      </c>
      <c r="G19" s="32" t="n">
        <f aca="false">E19*F19</f>
        <v>1400000</v>
      </c>
      <c r="H19" s="4" t="s">
        <v>332</v>
      </c>
      <c r="I19" s="16" t="s">
        <v>69</v>
      </c>
    </row>
    <row r="20" customFormat="false" ht="19.5" hidden="false" customHeight="true" outlineLevel="0" collapsed="false">
      <c r="A20" s="16" t="s">
        <v>277</v>
      </c>
      <c r="B20" s="15" t="s">
        <v>172</v>
      </c>
      <c r="C20" s="4" t="s">
        <v>173</v>
      </c>
      <c r="D20" s="16" t="s">
        <v>278</v>
      </c>
      <c r="E20" s="44" t="n">
        <v>2</v>
      </c>
      <c r="F20" s="44" t="n">
        <v>400000</v>
      </c>
      <c r="G20" s="32" t="n">
        <f aca="false">E20*F20</f>
        <v>800000</v>
      </c>
      <c r="H20" s="4" t="s">
        <v>333</v>
      </c>
      <c r="I20" s="16" t="s">
        <v>70</v>
      </c>
    </row>
    <row r="21" customFormat="false" ht="19.5" hidden="false" customHeight="true" outlineLevel="0" collapsed="false">
      <c r="A21" s="16"/>
      <c r="B21" s="16" t="s">
        <v>213</v>
      </c>
      <c r="C21" s="8" t="s">
        <v>214</v>
      </c>
      <c r="D21" s="16" t="s">
        <v>39</v>
      </c>
      <c r="E21" s="44" t="n">
        <v>1</v>
      </c>
      <c r="F21" s="44" t="n">
        <v>240000</v>
      </c>
      <c r="G21" s="32" t="n">
        <f aca="false">E21*F21</f>
        <v>240000</v>
      </c>
      <c r="H21" s="4"/>
      <c r="I21" s="16" t="s">
        <v>70</v>
      </c>
    </row>
    <row r="22" customFormat="false" ht="19.5" hidden="false" customHeight="true" outlineLevel="0" collapsed="false">
      <c r="A22" s="16" t="s">
        <v>70</v>
      </c>
      <c r="B22" s="16" t="s">
        <v>70</v>
      </c>
      <c r="C22" s="8" t="s">
        <v>146</v>
      </c>
      <c r="D22" s="16" t="s">
        <v>39</v>
      </c>
      <c r="E22" s="44" t="n">
        <v>1</v>
      </c>
      <c r="F22" s="44" t="n">
        <v>600000</v>
      </c>
      <c r="G22" s="32" t="n">
        <f aca="false">E22*F22</f>
        <v>600000</v>
      </c>
      <c r="H22" s="4"/>
      <c r="I22" s="16" t="s">
        <v>70</v>
      </c>
    </row>
    <row r="23" customFormat="false" ht="19.5" hidden="false" customHeight="true" outlineLevel="0" collapsed="false">
      <c r="A23" s="45" t="s">
        <v>289</v>
      </c>
      <c r="B23" s="45"/>
      <c r="C23" s="45"/>
      <c r="D23" s="45"/>
      <c r="E23" s="45"/>
      <c r="F23" s="45"/>
      <c r="G23" s="46" t="n">
        <f aca="false">SUMIF($I$8:$I$22,"재료비",$G$8:$G$22)</f>
        <v>2223600</v>
      </c>
      <c r="H23" s="19"/>
      <c r="I23" s="19"/>
    </row>
    <row r="24" customFormat="false" ht="19.5" hidden="false" customHeight="true" outlineLevel="0" collapsed="false">
      <c r="A24" s="45" t="s">
        <v>290</v>
      </c>
      <c r="B24" s="45"/>
      <c r="C24" s="45"/>
      <c r="D24" s="45"/>
      <c r="E24" s="45"/>
      <c r="F24" s="45"/>
      <c r="G24" s="46" t="n">
        <f aca="false">SUMIF($I$8:$I$22,"노무비",$G$8:$G$22)</f>
        <v>5950000</v>
      </c>
      <c r="H24" s="19"/>
      <c r="I24" s="19"/>
    </row>
    <row r="25" customFormat="false" ht="19.5" hidden="false" customHeight="true" outlineLevel="0" collapsed="false">
      <c r="A25" s="45" t="s">
        <v>291</v>
      </c>
      <c r="B25" s="45"/>
      <c r="C25" s="45"/>
      <c r="D25" s="45"/>
      <c r="E25" s="45"/>
      <c r="F25" s="45"/>
      <c r="G25" s="46" t="n">
        <f aca="false">SUMIF($I$8:$I$22,"경비",$G$8:$G$22)</f>
        <v>1640000</v>
      </c>
      <c r="H25" s="19"/>
      <c r="I25" s="19"/>
    </row>
    <row r="26" customFormat="false" ht="19.5" hidden="false" customHeight="true" outlineLevel="0" collapsed="false">
      <c r="A26" s="45" t="s">
        <v>71</v>
      </c>
      <c r="B26" s="45"/>
      <c r="C26" s="45"/>
      <c r="D26" s="45"/>
      <c r="E26" s="45"/>
      <c r="F26" s="45"/>
      <c r="G26" s="46" t="n">
        <f aca="false">G24*요율근거!$C$5</f>
        <v>211820</v>
      </c>
      <c r="H26" s="42" t="s">
        <v>292</v>
      </c>
      <c r="I26" s="42"/>
    </row>
    <row r="27" customFormat="false" ht="19.5" hidden="false" customHeight="true" outlineLevel="0" collapsed="false">
      <c r="A27" s="45" t="s">
        <v>72</v>
      </c>
      <c r="B27" s="45"/>
      <c r="C27" s="45"/>
      <c r="D27" s="45"/>
      <c r="E27" s="45"/>
      <c r="F27" s="45"/>
      <c r="G27" s="46" t="n">
        <f aca="false">G24*요율근거!$C$6</f>
        <v>68425</v>
      </c>
      <c r="H27" s="42" t="s">
        <v>293</v>
      </c>
      <c r="I27" s="42"/>
    </row>
    <row r="28" customFormat="false" ht="19.5" hidden="false" customHeight="true" outlineLevel="0" collapsed="false">
      <c r="A28" s="45" t="s">
        <v>73</v>
      </c>
      <c r="B28" s="45"/>
      <c r="C28" s="45"/>
      <c r="D28" s="45"/>
      <c r="E28" s="45"/>
      <c r="F28" s="45"/>
      <c r="G28" s="46" t="n">
        <f aca="false">(G23+G24)*요율근거!$C$7</f>
        <v>254198.96</v>
      </c>
      <c r="H28" s="19" t="s">
        <v>294</v>
      </c>
      <c r="I28" s="19"/>
    </row>
    <row r="29" customFormat="false" ht="19.5" hidden="false" customHeight="true" outlineLevel="0" collapsed="false">
      <c r="A29" s="3" t="s">
        <v>74</v>
      </c>
      <c r="B29" s="3"/>
      <c r="C29" s="3"/>
      <c r="D29" s="3"/>
      <c r="E29" s="3"/>
      <c r="F29" s="3"/>
      <c r="G29" s="18" t="n">
        <f aca="false">SUM(G23:G28)</f>
        <v>10348043.96</v>
      </c>
      <c r="H29" s="19"/>
      <c r="I29" s="19"/>
    </row>
    <row r="30" customFormat="false" ht="19.5" hidden="false" customHeight="true" outlineLevel="0" collapsed="false">
      <c r="A30" s="45" t="s">
        <v>75</v>
      </c>
      <c r="B30" s="45"/>
      <c r="C30" s="45"/>
      <c r="D30" s="45"/>
      <c r="E30" s="45"/>
      <c r="F30" s="45"/>
      <c r="G30" s="46" t="n">
        <f aca="false">G29*요율근거!$C$8</f>
        <v>517402.198</v>
      </c>
      <c r="H30" s="42" t="s">
        <v>295</v>
      </c>
      <c r="I30" s="42"/>
    </row>
    <row r="31" customFormat="false" ht="19.5" hidden="false" customHeight="true" outlineLevel="0" collapsed="false">
      <c r="A31" s="45" t="s">
        <v>76</v>
      </c>
      <c r="B31" s="45"/>
      <c r="C31" s="45"/>
      <c r="D31" s="45"/>
      <c r="E31" s="45"/>
      <c r="F31" s="45"/>
      <c r="G31" s="46" t="n">
        <f aca="false">(G24+G25+G26+G27+G28+G30)*요율근거!$C$14</f>
        <v>1037021.53896</v>
      </c>
      <c r="H31" s="19" t="s">
        <v>296</v>
      </c>
      <c r="I31" s="19"/>
    </row>
    <row r="32" customFormat="false" ht="19.5" hidden="false" customHeight="true" outlineLevel="0" collapsed="false">
      <c r="A32" s="45" t="s">
        <v>77</v>
      </c>
      <c r="B32" s="45"/>
      <c r="C32" s="45"/>
      <c r="D32" s="45"/>
      <c r="E32" s="45"/>
      <c r="F32" s="45"/>
      <c r="G32" s="46" t="n">
        <f aca="false">-MOD(G29+G30+G31,1000)</f>
        <v>-467.696960002184</v>
      </c>
      <c r="H32" s="42" t="s">
        <v>297</v>
      </c>
      <c r="I32" s="42"/>
    </row>
    <row r="33" customFormat="false" ht="19.5" hidden="false" customHeight="true" outlineLevel="0" collapsed="false">
      <c r="A33" s="47" t="s">
        <v>150</v>
      </c>
      <c r="B33" s="47"/>
      <c r="C33" s="47"/>
      <c r="D33" s="47"/>
      <c r="E33" s="47"/>
      <c r="F33" s="47"/>
      <c r="G33" s="48" t="n">
        <f aca="false">G29+G30+G31+G32</f>
        <v>11902000</v>
      </c>
      <c r="H33" s="10" t="s">
        <v>298</v>
      </c>
      <c r="I33" s="10"/>
    </row>
    <row r="35" customFormat="false" ht="13.4" hidden="false" customHeight="false" outlineLevel="0" collapsed="false">
      <c r="A35" s="49" t="s">
        <v>299</v>
      </c>
      <c r="B35" s="49"/>
      <c r="C35" s="49"/>
      <c r="D35" s="49"/>
      <c r="E35" s="49"/>
      <c r="F35" s="49"/>
      <c r="G35" s="49"/>
      <c r="H35" s="49"/>
      <c r="I35" s="49"/>
    </row>
    <row r="36" customFormat="false" ht="13.4" hidden="false" customHeight="false" outlineLevel="0" collapsed="false">
      <c r="A36" s="49" t="s">
        <v>300</v>
      </c>
      <c r="B36" s="49"/>
      <c r="C36" s="49"/>
      <c r="D36" s="49"/>
      <c r="E36" s="49"/>
      <c r="F36" s="49"/>
      <c r="G36" s="49"/>
      <c r="H36" s="49"/>
      <c r="I36" s="49"/>
    </row>
  </sheetData>
  <mergeCells count="30">
    <mergeCell ref="A1:I2"/>
    <mergeCell ref="A3:I3"/>
    <mergeCell ref="A5:I5"/>
    <mergeCell ref="A8:A12"/>
    <mergeCell ref="A13:A19"/>
    <mergeCell ref="A20:A21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5:I35"/>
    <mergeCell ref="A36:I36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50" t="s">
        <v>334</v>
      </c>
    </row>
    <row r="3" customFormat="false" ht="15" hidden="false" customHeight="false" outlineLevel="0" collapsed="false">
      <c r="A3" s="14" t="s">
        <v>335</v>
      </c>
      <c r="B3" s="14" t="s">
        <v>336</v>
      </c>
      <c r="C3" s="14" t="s">
        <v>337</v>
      </c>
      <c r="D3" s="14" t="s">
        <v>338</v>
      </c>
      <c r="E3" s="14" t="s">
        <v>339</v>
      </c>
    </row>
    <row r="4" customFormat="false" ht="15" hidden="false" customHeight="false" outlineLevel="0" collapsed="false">
      <c r="A4" s="51" t="n">
        <v>10</v>
      </c>
      <c r="B4" s="51" t="n">
        <v>4</v>
      </c>
      <c r="C4" s="52" t="n">
        <f aca="false">A4*B4</f>
        <v>40</v>
      </c>
      <c r="D4" s="51" t="n">
        <v>72.4</v>
      </c>
      <c r="E4" s="53" t="n">
        <f aca="false">C4*D4</f>
        <v>2896</v>
      </c>
    </row>
    <row r="5" customFormat="false" ht="15" hidden="false" customHeight="false" outlineLevel="0" collapsed="false">
      <c r="A5" s="51" t="n">
        <v>5</v>
      </c>
      <c r="B5" s="51" t="n">
        <v>16</v>
      </c>
      <c r="C5" s="52" t="n">
        <f aca="false">A5*B5</f>
        <v>80</v>
      </c>
      <c r="D5" s="51" t="n">
        <v>72.4</v>
      </c>
      <c r="E5" s="53" t="n">
        <f aca="false">C5*D5</f>
        <v>5792</v>
      </c>
    </row>
    <row r="6" customFormat="false" ht="15" hidden="false" customHeight="false" outlineLevel="0" collapsed="false">
      <c r="A6" s="51" t="n">
        <v>0.6</v>
      </c>
      <c r="B6" s="51" t="n">
        <v>30</v>
      </c>
      <c r="C6" s="52" t="n">
        <f aca="false">A6*B6</f>
        <v>18</v>
      </c>
      <c r="D6" s="51" t="n">
        <v>72.4</v>
      </c>
      <c r="E6" s="53" t="n">
        <f aca="false">C6*D6</f>
        <v>1303.2</v>
      </c>
    </row>
    <row r="7" customFormat="false" ht="15" hidden="false" customHeight="false" outlineLevel="0" collapsed="false">
      <c r="A7" s="54"/>
      <c r="B7" s="55" t="s">
        <v>66</v>
      </c>
      <c r="C7" s="54" t="n">
        <f aca="false">SUM(C4:C6)</f>
        <v>138</v>
      </c>
      <c r="D7" s="54"/>
      <c r="E7" s="56" t="n">
        <f aca="false">SUM(E4:E6)</f>
        <v>9991.2</v>
      </c>
    </row>
    <row r="9" customFormat="false" ht="15" hidden="false" customHeight="false" outlineLevel="0" collapsed="false">
      <c r="A9" s="14" t="s">
        <v>82</v>
      </c>
      <c r="B9" s="14" t="s">
        <v>100</v>
      </c>
      <c r="C9" s="13" t="s">
        <v>340</v>
      </c>
      <c r="D9" s="14" t="s">
        <v>35</v>
      </c>
    </row>
    <row r="10" customFormat="false" ht="15" hidden="false" customHeight="false" outlineLevel="0" collapsed="false">
      <c r="A10" s="57" t="s">
        <v>341</v>
      </c>
      <c r="B10" s="58" t="n">
        <v>13575440</v>
      </c>
      <c r="C10" s="53" t="n">
        <f aca="false">B10/$E$7</f>
        <v>1358.73969092802</v>
      </c>
      <c r="D10" s="57" t="s">
        <v>342</v>
      </c>
    </row>
    <row r="11" customFormat="false" ht="15" hidden="false" customHeight="false" outlineLevel="0" collapsed="false">
      <c r="A11" s="57" t="s">
        <v>343</v>
      </c>
      <c r="B11" s="58" t="n">
        <v>9577783</v>
      </c>
      <c r="C11" s="53" t="n">
        <f aca="false">B11/$E$7</f>
        <v>958.621887260789</v>
      </c>
      <c r="D11" s="57" t="s">
        <v>342</v>
      </c>
    </row>
    <row r="12" customFormat="false" ht="15" hidden="false" customHeight="false" outlineLevel="0" collapsed="false">
      <c r="A12" s="57" t="s">
        <v>344</v>
      </c>
      <c r="B12" s="58" t="n">
        <v>4000000</v>
      </c>
      <c r="C12" s="53" t="n">
        <f aca="false">B12/$E$7</f>
        <v>400.352310032829</v>
      </c>
      <c r="D12" s="57" t="s">
        <v>345</v>
      </c>
    </row>
    <row r="13" customFormat="false" ht="15" hidden="false" customHeight="false" outlineLevel="0" collapsed="false">
      <c r="A13" s="57" t="s">
        <v>346</v>
      </c>
      <c r="B13" s="59" t="n">
        <f aca="false">E7*700</f>
        <v>6993840</v>
      </c>
      <c r="C13" s="53" t="n">
        <f aca="false">B13/$E$7</f>
        <v>700</v>
      </c>
      <c r="D13" s="52" t="s">
        <v>347</v>
      </c>
    </row>
    <row r="14" customFormat="false" ht="15" hidden="false" customHeight="false" outlineLevel="0" collapsed="false">
      <c r="A14" s="57" t="s">
        <v>348</v>
      </c>
      <c r="B14" s="59" t="n">
        <f aca="false">B13-(B11-B12)</f>
        <v>1416057</v>
      </c>
      <c r="C14" s="53" t="n">
        <f aca="false">B14/$E$7</f>
        <v>141.730422772039</v>
      </c>
      <c r="D14" s="57" t="s">
        <v>349</v>
      </c>
    </row>
    <row r="16" customFormat="false" ht="15" hidden="false" customHeight="false" outlineLevel="0" collapsed="false">
      <c r="A16" s="38" t="s">
        <v>350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9.4" hidden="false" customHeight="false" outlineLevel="0" collapsed="false">
      <c r="A1" s="37" t="s">
        <v>351</v>
      </c>
    </row>
    <row r="3" customFormat="false" ht="30" hidden="false" customHeight="true" outlineLevel="0" collapsed="false">
      <c r="A3" s="3" t="s">
        <v>352</v>
      </c>
      <c r="B3" s="3" t="s">
        <v>353</v>
      </c>
      <c r="C3" s="60" t="s">
        <v>354</v>
      </c>
      <c r="D3" s="60" t="s">
        <v>355</v>
      </c>
      <c r="E3" s="60" t="s">
        <v>356</v>
      </c>
      <c r="F3" s="60" t="s">
        <v>357</v>
      </c>
      <c r="G3" s="60" t="s">
        <v>358</v>
      </c>
      <c r="H3" s="60" t="s">
        <v>359</v>
      </c>
      <c r="I3" s="60" t="s">
        <v>360</v>
      </c>
      <c r="J3" s="60" t="s">
        <v>361</v>
      </c>
      <c r="K3" s="60" t="s">
        <v>362</v>
      </c>
      <c r="L3" s="60" t="s">
        <v>363</v>
      </c>
      <c r="M3" s="60" t="s">
        <v>364</v>
      </c>
    </row>
    <row r="4" customFormat="false" ht="15" hidden="false" customHeight="false" outlineLevel="0" collapsed="false">
      <c r="A4" s="61" t="s">
        <v>365</v>
      </c>
      <c r="B4" s="61" t="s">
        <v>366</v>
      </c>
      <c r="C4" s="62"/>
      <c r="D4" s="57"/>
      <c r="E4" s="57"/>
      <c r="F4" s="57"/>
      <c r="G4" s="57"/>
      <c r="H4" s="57"/>
      <c r="I4" s="57"/>
      <c r="J4" s="57"/>
      <c r="K4" s="57"/>
      <c r="L4" s="57"/>
      <c r="M4" s="57"/>
    </row>
    <row r="5" customFormat="false" ht="15" hidden="false" customHeight="false" outlineLevel="0" collapsed="false">
      <c r="A5" s="61" t="s">
        <v>367</v>
      </c>
      <c r="B5" s="61" t="s">
        <v>368</v>
      </c>
      <c r="C5" s="62"/>
      <c r="D5" s="62"/>
      <c r="E5" s="62"/>
      <c r="F5" s="57"/>
      <c r="G5" s="57"/>
      <c r="H5" s="57"/>
      <c r="I5" s="57"/>
      <c r="J5" s="57"/>
      <c r="K5" s="57"/>
      <c r="L5" s="57"/>
      <c r="M5" s="57"/>
    </row>
    <row r="6" customFormat="false" ht="15" hidden="false" customHeight="false" outlineLevel="0" collapsed="false">
      <c r="A6" s="61" t="s">
        <v>369</v>
      </c>
      <c r="B6" s="61" t="s">
        <v>370</v>
      </c>
      <c r="C6" s="57"/>
      <c r="D6" s="57"/>
      <c r="E6" s="57"/>
      <c r="F6" s="62"/>
      <c r="G6" s="57"/>
      <c r="H6" s="57"/>
      <c r="I6" s="57"/>
      <c r="J6" s="57"/>
      <c r="K6" s="57"/>
      <c r="L6" s="57"/>
      <c r="M6" s="57"/>
    </row>
    <row r="7" customFormat="false" ht="15" hidden="false" customHeight="false" outlineLevel="0" collapsed="false">
      <c r="A7" s="61" t="s">
        <v>371</v>
      </c>
      <c r="B7" s="61" t="s">
        <v>372</v>
      </c>
      <c r="C7" s="57"/>
      <c r="D7" s="57"/>
      <c r="E7" s="57"/>
      <c r="F7" s="57"/>
      <c r="G7" s="62"/>
      <c r="H7" s="62"/>
      <c r="I7" s="57"/>
      <c r="J7" s="57"/>
      <c r="K7" s="57"/>
      <c r="L7" s="57"/>
      <c r="M7" s="57"/>
    </row>
    <row r="8" customFormat="false" ht="15" hidden="false" customHeight="false" outlineLevel="0" collapsed="false">
      <c r="A8" s="61" t="s">
        <v>373</v>
      </c>
      <c r="B8" s="61" t="s">
        <v>374</v>
      </c>
      <c r="C8" s="57"/>
      <c r="D8" s="57"/>
      <c r="E8" s="57"/>
      <c r="F8" s="57"/>
      <c r="G8" s="57"/>
      <c r="H8" s="57"/>
      <c r="I8" s="62"/>
      <c r="J8" s="62"/>
      <c r="K8" s="57"/>
      <c r="L8" s="57"/>
      <c r="M8" s="57"/>
    </row>
    <row r="9" customFormat="false" ht="15" hidden="false" customHeight="false" outlineLevel="0" collapsed="false">
      <c r="A9" s="61" t="s">
        <v>375</v>
      </c>
      <c r="B9" s="61" t="s">
        <v>376</v>
      </c>
      <c r="C9" s="57"/>
      <c r="D9" s="57"/>
      <c r="E9" s="57"/>
      <c r="F9" s="57"/>
      <c r="G9" s="57"/>
      <c r="H9" s="57"/>
      <c r="I9" s="57"/>
      <c r="J9" s="57"/>
      <c r="K9" s="62"/>
      <c r="L9" s="62"/>
      <c r="M9" s="62"/>
    </row>
    <row r="10" customFormat="false" ht="15" hidden="false" customHeight="false" outlineLevel="0" collapsed="false">
      <c r="A10" s="61" t="s">
        <v>377</v>
      </c>
      <c r="B10" s="61" t="s">
        <v>366</v>
      </c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62"/>
    </row>
    <row r="12" customFormat="false" ht="15" hidden="false" customHeight="false" outlineLevel="0" collapsed="false">
      <c r="A12" s="38" t="s">
        <v>378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7" t="s">
        <v>379</v>
      </c>
    </row>
    <row r="2" customFormat="false" ht="15" hidden="false" customHeight="false" outlineLevel="0" collapsed="false">
      <c r="A2" s="38" t="s">
        <v>380</v>
      </c>
    </row>
    <row r="4" customFormat="false" ht="15" hidden="false" customHeight="false" outlineLevel="0" collapsed="false">
      <c r="A4" s="14" t="s">
        <v>381</v>
      </c>
      <c r="B4" s="14" t="s">
        <v>382</v>
      </c>
      <c r="C4" s="14" t="s">
        <v>383</v>
      </c>
      <c r="D4" s="14" t="s">
        <v>384</v>
      </c>
    </row>
    <row r="5" customFormat="false" ht="30" hidden="false" customHeight="true" outlineLevel="0" collapsed="false">
      <c r="A5" s="8" t="s">
        <v>71</v>
      </c>
      <c r="B5" s="8" t="s">
        <v>385</v>
      </c>
      <c r="C5" s="63" t="n">
        <v>0.0356</v>
      </c>
      <c r="D5" s="8" t="s">
        <v>386</v>
      </c>
    </row>
    <row r="6" customFormat="false" ht="30" hidden="false" customHeight="true" outlineLevel="0" collapsed="false">
      <c r="A6" s="8" t="s">
        <v>72</v>
      </c>
      <c r="B6" s="8" t="s">
        <v>385</v>
      </c>
      <c r="C6" s="63" t="n">
        <v>0.0115</v>
      </c>
      <c r="D6" s="8" t="s">
        <v>387</v>
      </c>
    </row>
    <row r="7" customFormat="false" ht="30" hidden="false" customHeight="true" outlineLevel="0" collapsed="false">
      <c r="A7" s="8" t="s">
        <v>73</v>
      </c>
      <c r="B7" s="4" t="s">
        <v>388</v>
      </c>
      <c r="C7" s="63" t="n">
        <v>0.0311</v>
      </c>
      <c r="D7" s="8" t="s">
        <v>389</v>
      </c>
    </row>
    <row r="8" customFormat="false" ht="30" hidden="false" customHeight="true" outlineLevel="0" collapsed="false">
      <c r="A8" s="8" t="s">
        <v>75</v>
      </c>
      <c r="B8" s="8" t="s">
        <v>390</v>
      </c>
      <c r="C8" s="63" t="n">
        <v>0.05</v>
      </c>
      <c r="D8" s="8" t="s">
        <v>391</v>
      </c>
    </row>
    <row r="9" customFormat="false" ht="30" hidden="false" customHeight="true" outlineLevel="0" collapsed="false">
      <c r="A9" s="8" t="s">
        <v>392</v>
      </c>
      <c r="B9" s="4" t="s">
        <v>393</v>
      </c>
      <c r="C9" s="64" t="n">
        <v>0.12</v>
      </c>
      <c r="D9" s="8" t="s">
        <v>394</v>
      </c>
    </row>
    <row r="10" customFormat="false" ht="30" hidden="false" customHeight="true" outlineLevel="0" collapsed="false">
      <c r="A10" s="8" t="s">
        <v>395</v>
      </c>
      <c r="B10" s="4" t="s">
        <v>393</v>
      </c>
      <c r="C10" s="64" t="n">
        <v>0.12</v>
      </c>
      <c r="D10" s="8" t="s">
        <v>394</v>
      </c>
    </row>
    <row r="11" customFormat="false" ht="30" hidden="false" customHeight="true" outlineLevel="0" collapsed="false">
      <c r="A11" s="8" t="s">
        <v>396</v>
      </c>
      <c r="B11" s="4" t="s">
        <v>393</v>
      </c>
      <c r="C11" s="64" t="n">
        <v>0.12</v>
      </c>
      <c r="D11" s="8" t="s">
        <v>394</v>
      </c>
    </row>
    <row r="12" customFormat="false" ht="30" hidden="false" customHeight="true" outlineLevel="0" collapsed="false">
      <c r="A12" s="8" t="s">
        <v>397</v>
      </c>
      <c r="B12" s="4" t="s">
        <v>393</v>
      </c>
      <c r="C12" s="64" t="n">
        <v>0.12</v>
      </c>
      <c r="D12" s="8" t="s">
        <v>394</v>
      </c>
    </row>
    <row r="13" customFormat="false" ht="30" hidden="false" customHeight="true" outlineLevel="0" collapsed="false">
      <c r="A13" s="8" t="s">
        <v>398</v>
      </c>
      <c r="B13" s="4" t="s">
        <v>393</v>
      </c>
      <c r="C13" s="64" t="n">
        <v>0.12</v>
      </c>
      <c r="D13" s="8" t="s">
        <v>394</v>
      </c>
    </row>
    <row r="14" customFormat="false" ht="30" hidden="false" customHeight="true" outlineLevel="0" collapsed="false">
      <c r="A14" s="8" t="s">
        <v>399</v>
      </c>
      <c r="B14" s="4" t="s">
        <v>393</v>
      </c>
      <c r="C14" s="64" t="n">
        <v>0.12</v>
      </c>
      <c r="D14" s="8" t="s">
        <v>394</v>
      </c>
    </row>
    <row r="15" customFormat="false" ht="30" hidden="false" customHeight="true" outlineLevel="0" collapsed="false">
      <c r="A15" s="8" t="s">
        <v>400</v>
      </c>
      <c r="B15" s="8" t="s">
        <v>401</v>
      </c>
      <c r="C15" s="15" t="s">
        <v>402</v>
      </c>
      <c r="D15" s="4" t="s">
        <v>403</v>
      </c>
    </row>
    <row r="17" customFormat="false" ht="15" hidden="false" customHeight="false" outlineLevel="0" collapsed="false">
      <c r="A17" s="65" t="s">
        <v>404</v>
      </c>
    </row>
    <row r="18" customFormat="false" ht="15" hidden="false" customHeight="false" outlineLevel="0" collapsed="false">
      <c r="A18" s="14" t="s">
        <v>405</v>
      </c>
      <c r="B18" s="14" t="s">
        <v>406</v>
      </c>
      <c r="C18" s="14" t="s">
        <v>407</v>
      </c>
      <c r="D18" s="14" t="s">
        <v>408</v>
      </c>
      <c r="E18" s="14" t="s">
        <v>409</v>
      </c>
    </row>
    <row r="19" customFormat="false" ht="15" hidden="false" customHeight="false" outlineLevel="0" collapsed="false">
      <c r="A19" s="8" t="s">
        <v>152</v>
      </c>
      <c r="B19" s="8" t="s">
        <v>410</v>
      </c>
      <c r="C19" s="44" t="n">
        <v>292640</v>
      </c>
      <c r="D19" s="44" t="n">
        <v>500000</v>
      </c>
      <c r="E19" s="66" t="n">
        <f aca="false">D19/C19</f>
        <v>1.70858392564243</v>
      </c>
    </row>
    <row r="20" customFormat="false" ht="15" hidden="false" customHeight="false" outlineLevel="0" collapsed="false">
      <c r="A20" s="8" t="s">
        <v>411</v>
      </c>
      <c r="B20" s="8" t="s">
        <v>412</v>
      </c>
      <c r="C20" s="44" t="n">
        <v>266029</v>
      </c>
      <c r="D20" s="44" t="n">
        <v>350000</v>
      </c>
      <c r="E20" s="66" t="n">
        <f aca="false">D20/C20</f>
        <v>1.31564603858978</v>
      </c>
    </row>
    <row r="21" customFormat="false" ht="15" hidden="false" customHeight="false" outlineLevel="0" collapsed="false">
      <c r="A21" s="8" t="s">
        <v>161</v>
      </c>
      <c r="B21" s="8" t="s">
        <v>413</v>
      </c>
      <c r="C21" s="44" t="n">
        <v>226122</v>
      </c>
      <c r="D21" s="44" t="n">
        <v>300000</v>
      </c>
      <c r="E21" s="66" t="n">
        <f aca="false">D21/C21</f>
        <v>1.32671743572054</v>
      </c>
    </row>
    <row r="22" customFormat="false" ht="15" hidden="false" customHeight="false" outlineLevel="0" collapsed="false">
      <c r="A22" s="8" t="s">
        <v>165</v>
      </c>
      <c r="B22" s="8" t="s">
        <v>414</v>
      </c>
      <c r="C22" s="44" t="n">
        <v>172068</v>
      </c>
      <c r="D22" s="44" t="n">
        <v>200000</v>
      </c>
      <c r="E22" s="66" t="n">
        <f aca="false">D22/C22</f>
        <v>1.16233117139735</v>
      </c>
    </row>
    <row r="23" customFormat="false" ht="15" hidden="false" customHeight="false" outlineLevel="0" collapsed="false">
      <c r="A23" s="8" t="s">
        <v>168</v>
      </c>
      <c r="B23" s="8" t="s">
        <v>413</v>
      </c>
      <c r="C23" s="44" t="n">
        <v>226122</v>
      </c>
      <c r="D23" s="44" t="n">
        <v>250000</v>
      </c>
      <c r="E23" s="66" t="n">
        <f aca="false">D23/C23</f>
        <v>1.10559786310045</v>
      </c>
    </row>
    <row r="24" customFormat="false" ht="15" hidden="false" customHeight="false" outlineLevel="0" collapsed="false">
      <c r="A24" s="8" t="s">
        <v>108</v>
      </c>
      <c r="B24" s="8" t="s">
        <v>413</v>
      </c>
      <c r="C24" s="44" t="n">
        <v>226122</v>
      </c>
      <c r="D24" s="44" t="n">
        <v>260000</v>
      </c>
      <c r="E24" s="66" t="n">
        <f aca="false">D24/C24</f>
        <v>1.14982177762447</v>
      </c>
    </row>
    <row r="25" customFormat="false" ht="15" hidden="false" customHeight="false" outlineLevel="0" collapsed="false">
      <c r="A25" s="8" t="s">
        <v>103</v>
      </c>
      <c r="B25" s="8" t="s">
        <v>415</v>
      </c>
      <c r="C25" s="44" t="n">
        <v>281939</v>
      </c>
      <c r="D25" s="44" t="n">
        <v>300000</v>
      </c>
      <c r="E25" s="66" t="n">
        <f aca="false">D25/C25</f>
        <v>1.06405995623167</v>
      </c>
    </row>
    <row r="26" customFormat="false" ht="30" hidden="false" customHeight="true" outlineLevel="0" collapsed="false">
      <c r="A26" s="33" t="s">
        <v>416</v>
      </c>
      <c r="B26" s="33"/>
      <c r="C26" s="33"/>
      <c r="D26" s="33"/>
      <c r="E26" s="33"/>
    </row>
    <row r="28" customFormat="false" ht="15" hidden="false" customHeight="false" outlineLevel="0" collapsed="false">
      <c r="A28" s="65" t="s">
        <v>417</v>
      </c>
    </row>
    <row r="29" customFormat="false" ht="15" hidden="false" customHeight="false" outlineLevel="0" collapsed="false">
      <c r="A29" s="67" t="s">
        <v>418</v>
      </c>
      <c r="B29" s="68" t="s">
        <v>419</v>
      </c>
      <c r="C29" s="68"/>
      <c r="D29" s="68"/>
      <c r="E29" s="68"/>
    </row>
    <row r="30" customFormat="false" ht="15" hidden="false" customHeight="false" outlineLevel="0" collapsed="false">
      <c r="A30" s="67" t="s">
        <v>420</v>
      </c>
      <c r="B30" s="68" t="s">
        <v>421</v>
      </c>
      <c r="C30" s="68"/>
      <c r="D30" s="68"/>
      <c r="E30" s="68"/>
    </row>
    <row r="31" customFormat="false" ht="14.15" hidden="false" customHeight="false" outlineLevel="0" collapsed="false">
      <c r="A31" s="67" t="s">
        <v>422</v>
      </c>
      <c r="B31" s="68" t="s">
        <v>423</v>
      </c>
      <c r="C31" s="68"/>
      <c r="D31" s="68"/>
      <c r="E31" s="68"/>
    </row>
    <row r="32" customFormat="false" ht="15" hidden="false" customHeight="false" outlineLevel="0" collapsed="false">
      <c r="A32" s="67" t="s">
        <v>73</v>
      </c>
      <c r="B32" s="68" t="s">
        <v>424</v>
      </c>
      <c r="C32" s="68"/>
      <c r="D32" s="68"/>
      <c r="E32" s="68"/>
    </row>
    <row r="33" customFormat="false" ht="15" hidden="false" customHeight="false" outlineLevel="0" collapsed="false">
      <c r="A33" s="67" t="s">
        <v>425</v>
      </c>
      <c r="B33" s="68" t="s">
        <v>426</v>
      </c>
      <c r="C33" s="68"/>
      <c r="D33" s="68"/>
      <c r="E33" s="68"/>
    </row>
    <row r="34" customFormat="false" ht="14.15" hidden="false" customHeight="false" outlineLevel="0" collapsed="false">
      <c r="A34" s="69" t="s">
        <v>427</v>
      </c>
      <c r="B34" s="68" t="s">
        <v>428</v>
      </c>
      <c r="C34" s="68"/>
      <c r="D34" s="68"/>
      <c r="E34" s="68"/>
    </row>
    <row r="35" customFormat="false" ht="15" hidden="false" customHeight="false" outlineLevel="0" collapsed="false">
      <c r="A35" s="67" t="s">
        <v>429</v>
      </c>
      <c r="B35" s="70" t="s">
        <v>430</v>
      </c>
      <c r="C35" s="70"/>
      <c r="D35" s="70"/>
      <c r="E35" s="70"/>
    </row>
    <row r="37" customFormat="false" ht="15" hidden="false" customHeight="false" outlineLevel="0" collapsed="false">
      <c r="A37" s="38" t="s">
        <v>431</v>
      </c>
    </row>
  </sheetData>
  <mergeCells count="8">
    <mergeCell ref="A26:E26"/>
    <mergeCell ref="B29:E29"/>
    <mergeCell ref="B30:E30"/>
    <mergeCell ref="B31:E31"/>
    <mergeCell ref="B32:E32"/>
    <mergeCell ref="B33:E33"/>
    <mergeCell ref="B34:E34"/>
    <mergeCell ref="B35:E35"/>
  </mergeCells>
  <hyperlinks>
    <hyperlink ref="B29" r:id="rId1" display="https://www.kmcca.or.kr/images/pegs/down_file/2026%EB%85%84%20%EC%83%81%EB%B0%98%EA%B8%B0%EC%A0%81%EC%9A%A9%20%EA%B1%B4%EC%84%A4%EC%97%85%20%EC%9E%84%EA%B8%88%EC%8B%A4%ED%83%9C%EC%A1%B0%EC%82%AC%20%EB%B3%B4%EA%B3%A0%EC%84%9C.pdf"/>
    <hyperlink ref="B30" r:id="rId2" display="http://www.conslove.co.kr/news/articleView.html?idxno=89479"/>
    <hyperlink ref="B31" r:id="rId3" display="https://www.kosca21.or.kr/km_board/upload/km_b_notice/1767346180_02.pdf"/>
    <hyperlink ref="B32" r:id="rId4" display="https://biz.newdaily.co.kr/site/data/html/2026/05/07/2026050700116.html"/>
    <hyperlink ref="B33" r:id="rId5" display="https://04noti.com/construction-cost-ratio-guide/"/>
    <hyperlink ref="B34" r:id="rId6" display="https://calctools.co.kr/blog/daily-worker-insurance"/>
  </hyperlink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2026-10-12T23:46:36Z</dcterms:created>
  <dc:creator>openpyxl</dc:creator>
  <dc:description/>
  <dc:language>en-US</dc:language>
  <cp:lastModifiedBy/>
  <dcterms:modified xsi:type="dcterms:W3CDTF">2026-10-12T23:46:36Z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