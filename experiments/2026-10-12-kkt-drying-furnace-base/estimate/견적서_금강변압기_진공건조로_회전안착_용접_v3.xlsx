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<sst xmlns="http://schemas.openxmlformats.org/spreadsheetml/2006/main" count="1244" uniqueCount="366">
  <si>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</si>
  <si>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</si>
  <si>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</si>
  <si>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</si>
  <si>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</si>
  <si>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</si>
  <si>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</si>
  <si>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</si>
  <si>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</si>
  <si>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</si>
  <si>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</si>
  <si>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</si>
  <si>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</si>
  <si>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</si>
  <si>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</si>
  <si>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</si>
  <si>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</si>
  <si>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</si>
  <si>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</si>
  <si>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</si>
  <si>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</si>
  <si>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</si>
  <si>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</si>
  <si>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</si>
  <si>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</si>
  <si>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</si>
  <si>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</si>
  <si>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</si>
  <si>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</si>
  <si>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</si>
  <si>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</si>
  <si>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</si>
  <si>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</si>
  <si>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</si>
  <si>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</si>
  <si>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</si>
  <si>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</si>
  <si>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</si>
  <si>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</si>
  <si>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</si>
  <si>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</si>
  <si>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</si>
  <si>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</si>
  <si>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</si>
  <si>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</si>
  <si>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</si>
  <si>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</si>
  <si>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</si>
  <si>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</si>
  <si>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</si>
  <si>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</si>
  <si>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</si>
  <si>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</si>
  <si>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</si>
  <si>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</si>
  <si>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</si>
  <si>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</si>
  <si>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</si>
  <si>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</si>
  <si>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</si>
  <si>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</si>
  <si>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</si>
  <si>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</si>
  <si>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</si>
  <si>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</si>
  <si>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</si>
  <si>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</si>
  <si>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</si>
  <si>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</si>
  <si>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</si>
  <si>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</si>
  <si>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</si>
  <si>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</si>
  <si>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</si>
  <si>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</si>
  <si>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</si>
  <si>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원가계산서 참조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</si>
  <si>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</si>
  <si>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</si>
  <si>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</si>
  <si>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</si>
  <si>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</si>
  <si>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</si>
  <si>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</si>
  <si>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</si>
  <si>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</si>
  <si>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</si>
  <si>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</si>
  <si>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</si>
  <si>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</si>
  <si>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</si>
  <si>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</si>
  <si>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</si>
  <si>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</si>
  <si>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</si>
  <si>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</si>
  <si>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</si>
  <si>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</si>
  <si>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</si>
  <si>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</si>
  <si>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</si>
  <si>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</si>
  <si>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</si>
  <si>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</si>
  <si>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</si>
  <si>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</si>
  <si>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</si>
  <si>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</si>
  <si>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</si>
  <si>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</si>
  <si>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</si>
  <si>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</si>
  <si>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 조건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</si>
  <si>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</si>
  <si>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</si>
  <si>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</si>
  <si>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</si>
  <si>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</si>
  <si>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</si>
  <si>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</si>
  <si>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</si>
  <si>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</si>
  <si>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</si>
  <si>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</si>
  <si>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</si>
  <si>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</si>
  <si>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</si>
  <si>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</si>
  <si>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</si>
  <si>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</si>
  <si>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</si>
  <si>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</si>
  <si>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</si>
  <si>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</si>
  <si>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</si>
  <si>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</si>
  <si>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</si>
  <si>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A안 VAT 포함 기준 23,658,360원 / 23,658,360원 / 31,544,480원.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</si>
  <si>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</si>
  <si>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</si>
  <si>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</si>
  <si>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</si>
  <si>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</si>
  <si>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</si>
  <si>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</si>
  <si>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</si>
  <si>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</si>
  <si>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</si>
  <si>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</si>
  <si>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</si>
  <si>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</si>
  <si>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</si>
  <si>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</si>
  <si>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</si>
  <si>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</si>
  <si>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</si>
  <si>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</si>
  <si>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</si>
  <si>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</si>
  <si>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</si>
  <si>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</si>
  <si>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</si>
  <si>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</si>
  <si>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</si>
  <si>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</si>
  <si>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</si>
  <si>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</si>
  <si>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</si>
  <si>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 15%. 근거는 아래 적용 요율 표.</t>
  </si>
  <si>
    <t xml:space="preserve">적용 요율</t>
  </si>
  <si>
    <t xml:space="preserve">항목</t>
  </si>
  <si>
    <t xml:space="preserve">적용 기준</t>
  </si>
  <si>
    <t xml:space="preserve">요율</t>
  </si>
  <si>
    <t xml:space="preserve">근거</t>
  </si>
  <si>
    <t xml:space="preserve">노무비 ×</t>
  </si>
  <si>
    <t xml:space="preserve">2026년 고용노동부 보험료율 고시 (건설업)</t>
  </si>
  <si>
    <t xml:space="preserve">2026년 고용노동부 보험료율 고시 (150인 미만)</t>
  </si>
  <si>
    <t xml:space="preserve">(재료비 + 노무비) ×</t>
  </si>
  <si>
    <t xml:space="preserve">고용노동부 산업안전보건관리비 계상기준</t>
  </si>
  <si>
    <t xml:space="preserve">순공사원가 ×</t>
  </si>
  <si>
    <t xml:space="preserve">6% 이내 적용 (국가계약법 시행규칙 제8조 기준)</t>
  </si>
  <si>
    <t xml:space="preserve">(노무비 + 경비 + 일반관리비) ×</t>
  </si>
  <si>
    <t xml:space="preserve">15% 이내 적용 (국가계약법 시행규칙 제8조 기준)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</si>
  <si>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</si>
  <si>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</si>
  <si>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</si>
  <si>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</si>
  <si>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</si>
  <si>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1일 추가(단독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</si>
  <si>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</si>
  <si>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</si>
  <si>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</si>
  <si>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</si>
  <si>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1일 임대 단가 적용, 회송·웨이트 운반은 별도 항목으로 계상함.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</si>
  <si>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</si>
  <si>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</si>
  <si>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</si>
  <si>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인원·일수는 작업 범위와 공정표 기준, 단가는 동종 플랜트 현장 시장 단가 기준으로 산정함.</t>
  </si>
  <si>
    <t xml:space="preserve">공종</t>
  </si>
  <si>
    <t xml:space="preserve">산출식</t>
  </si>
  <si>
    <t xml:space="preserve">금액(원)</t>
  </si>
  <si>
    <t xml:space="preserve">(6 + 6 + 3)명 × 300,000원</t>
  </si>
  <si>
    <t xml:space="preserve">인원·일수: 작업 범위·공정표 기준 / 단가: 중량물 도비 전문기공 시장 단가</t>
  </si>
  <si>
    <t xml:space="preserve">2명 × 1일 × 260,000원</t>
  </si>
  <si>
    <t xml:space="preserve">크레인 인양 작업 안전관리 인력, 단가: 시장 단가</t>
  </si>
  <si>
    <t xml:space="preserve">1명 × 3일 × 320,000원</t>
  </si>
  <si>
    <t xml:space="preserve">1대 × 1일 × 2,400,000원</t>
  </si>
  <si>
    <t xml:space="preserve">이동식 크레인 1일 임대 시장 단가 (운전원 포함)</t>
  </si>
  <si>
    <t xml:space="preserve">1대 × 1일 × 1,700,000원</t>
  </si>
  <si>
    <t xml:space="preserve">8매 × 80,000원</t>
  </si>
  <si>
    <t xml:space="preserve">장비 임대 시장 단가, 투입 수량·일수는 공정표 기준</t>
  </si>
  <si>
    <t xml:space="preserve">1식 (2일)</t>
  </si>
  <si>
    <t xml:space="preserve">1식</t>
  </si>
  <si>
    <t xml:space="preserve">중량물 작업 전문장비 사용 손료</t>
  </si>
  <si>
    <t xml:space="preserve">자재 시장 단가, 작업 범위 기준 1식</t>
  </si>
  <si>
    <t xml:space="preserve">작업구역 10×15m, 둘레 50m ÷ 2.4m = 21매 + 출입문 1매 → 22매 × 11일 × 5,000원</t>
  </si>
  <si>
    <t xml:space="preserve">작업구역 둘레 기준 수량 × 임대 시장 단가</t>
  </si>
  <si>
    <t xml:space="preserve">2명 × 1일 × 250,000원</t>
  </si>
  <si>
    <t xml:space="preserve">인원·일수: 작업 범위·공정표 기준 / 단가: 플랜트 숙련 기능인력 시장 단가</t>
  </si>
  <si>
    <t xml:space="preserve">2회 × 260,000원</t>
  </si>
  <si>
    <t xml:space="preserve">화물 운반 시장 단가</t>
  </si>
  <si>
    <t xml:space="preserve">작업구역 출입통제 자재, 1식</t>
  </si>
  <si>
    <t xml:space="preserve">1식 600,000원</t>
  </si>
  <si>
    <t xml:space="preserve">공종 현장 부대비 1식</t>
  </si>
  <si>
    <t xml:space="preserve">법정 요율·일반관리비·이윤 (원가계산서 하단 참조)</t>
  </si>
  <si>
    <t xml:space="preserve">공종 합계</t>
  </si>
  <si>
    <t xml:space="preserve">부가세 별도</t>
  </si>
  <si>
    <t xml:space="preserve">3명 × 3일 × 500,000원</t>
  </si>
  <si>
    <t xml:space="preserve">2명 × 3일 × 350,000원</t>
  </si>
  <si>
    <t xml:space="preserve">2명 × 2일 × 300,000원</t>
  </si>
  <si>
    <t xml:space="preserve">2명 × 2일 × 200,000원</t>
  </si>
  <si>
    <t xml:space="preserve">1명 × 5일 × 250,000원</t>
  </si>
  <si>
    <t xml:space="preserve">산업안전보건기준에 관한 규칙 제241조의2 (화기작업 화재감시자 배치), 단가는 숙련 기능인력 시장 단가</t>
  </si>
  <si>
    <t xml:space="preserve">3대 × 3일 × 400,000원</t>
  </si>
  <si>
    <t xml:space="preserve">1식 (용접재 3,000,000 + 전원 케이블·잡자재 680,000)</t>
  </si>
  <si>
    <t xml:space="preserve">2대 × 11일 × 100,000원</t>
  </si>
  <si>
    <t xml:space="preserve">28인·일 기준 1식</t>
  </si>
  <si>
    <t xml:space="preserve">투입 인·일 기준 현장 부대비</t>
  </si>
  <si>
    <t xml:space="preserve">9,991kg × 700원 (회수조건 적용 단가, 베이스자재 시트)</t>
  </si>
  <si>
    <t xml:space="preserve">H빔 공칭중량 × 회수조건 적용 단가 (베이스자재 시트)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</si>
  <si>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</si>
  <si>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</si>
  <si>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</si>
  <si>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</si>
  <si>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</si>
  <si>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1대 × 3일 × 400,000원</t>
  </si>
  <si>
    <t xml:space="preserve">15인·일 기준 1식</t>
  </si>
  <si>
    <t xml:space="preserve">B_도비</t>
  </si>
  <si>
    <t xml:space="preserve">안착·밀착·90° 회전·회전 후 정리</t>
  </si>
  <si>
    <t xml:space="preserve">(6 + 6 + 3 + 6)명 × 300,000원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</si>
  <si>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</si>
  <si>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</si>
  <si>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</si>
  <si>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</si>
  <si>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</si>
  <si>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</si>
  <si>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</si>
  <si>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</si>
  <si>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</si>
  <si>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</si>
  <si>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</si>
  <si>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</si>
  <si>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</si>
  <si>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</si>
  <si>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</si>
  <si>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(대안), 부가세 별도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</si>
  <si>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</si>
  <si>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</si>
  <si>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</si>
  <si>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</si>
  <si>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현장 보유 강재 사용</t>
  </si>
  <si>
    <t xml:space="preserve">현장 보유 강재 사용, 자재비 미계상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</si>
  <si>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</si>
  <si>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</si>
  <si>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</si>
  <si>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</si>
  <si>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</si>
  <si>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</si>
  <si>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</si>
  <si>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</si>
  <si>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</si>
  <si>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</si>
  <si>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</si>
  <si>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</si>
  <si>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11인·일 기준 1식</t>
  </si>
  <si>
    <t xml:space="preserve">공 종 별   내 역 서</t>
  </si>
  <si>
    <t xml:space="preserve">견적번호 NM-2610-01   |   견적일 2026-10-13   |   주식회사 금강변압기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</si>
  <si>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</si>
  <si>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</si>
  <si>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</si>
  <si>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</si>
  <si>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</si>
  <si>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</si>
  <si>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</si>
  <si>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</si>
  <si>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</si>
  <si>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</si>
  <si>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</si>
  <si>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</si>
  <si>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</si>
  <si>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</si>
  <si>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</si>
  <si>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</si>
  <si>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</si>
  <si>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※ 수량·단가의 근거는 '산출근거'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</si>
  <si>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</si>
  <si>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</si>
  <si>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</si>
  <si>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</si>
  <si>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</si>
  <si>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</si>
  <si>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</si>
  <si>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</si>
  <si>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</si>
  <si>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</si>
  <si>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</si>
  <si>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</si>
  <si>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</si>
  <si>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</si>
  <si>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</si>
  <si>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</si>
  <si>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</si>
  <si>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</si>
  <si>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</si>
  <si>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</si>
  <si>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</si>
  <si>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</t>
  </si>
  <si>
    <t xml:space="preserve">개조 1일 7명 + 제거·복원 2명 × 2일 (용접기·절단기 임대는 용접 공종에 계상)</t>
  </si>
  <si>
    <t xml:space="preserve">베이스 자재: H-250×250×9×14 (회수조건)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</si>
  <si>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</si>
  <si>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</si>
  <si>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</si>
  <si>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</si>
  <si>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</si>
  <si>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적용 단가(원/kg)</t>
  </si>
  <si>
    <t xml:space="preserve">회수조건 적용</t>
  </si>
  <si>
    <t xml:space="preserve">공사 후 회수, 사용 기간 손료 개념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</si>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</sst>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"/>
    <numFmt numFmtId="167" formatCode="0.00%"/>
    <numFmt numFmtId="168" formatCode="General"/>
    <numFmt numFmtId="169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sz val="11"/>
      <color rgb="FF1D2430"/>
      <name val="Pretendard SemiBold"/>
      <family val="0"/>
      <charset val="1"/>
    </font>
    <font>
      <sz val="9"/>
      <color rgb="FF1D2430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30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  <row r="22" customFormat="false" ht="15" hidden="false" customHeight="false" outlineLevel="0" collapsed="false">
      <c r="A22" s="37" t="s">
        <v>169</v>
      </c>
    </row>
    <row r="23" customFormat="false" ht="15" hidden="false" customHeight="true" outlineLevel="0" collapsed="false">
      <c r="A23" s="10" t="s">
        <v>170</v>
      </c>
      <c r="B23" s="10" t="s">
        <v>171</v>
      </c>
      <c r="C23" s="10"/>
      <c r="D23" s="10" t="s">
        <v>172</v>
      </c>
      <c r="E23" s="10" t="s">
        <v>173</v>
      </c>
      <c r="F23" s="10"/>
    </row>
    <row r="24" customFormat="false" ht="30" hidden="false" customHeight="true" outlineLevel="0" collapsed="false">
      <c r="A24" s="13" t="s">
        <v>159</v>
      </c>
      <c r="B24" s="13" t="s">
        <v>174</v>
      </c>
      <c r="C24" s="13"/>
      <c r="D24" s="38" t="n">
        <v>0.0356</v>
      </c>
      <c r="E24" s="39" t="s">
        <v>175</v>
      </c>
      <c r="F24" s="39"/>
    </row>
    <row r="25" customFormat="false" ht="30" hidden="false" customHeight="true" outlineLevel="0" collapsed="false">
      <c r="A25" s="13" t="s">
        <v>160</v>
      </c>
      <c r="B25" s="13" t="s">
        <v>174</v>
      </c>
      <c r="C25" s="13"/>
      <c r="D25" s="38" t="n">
        <v>0.0115</v>
      </c>
      <c r="E25" s="39" t="s">
        <v>176</v>
      </c>
      <c r="F25" s="39"/>
    </row>
    <row r="26" customFormat="false" ht="30" hidden="false" customHeight="true" outlineLevel="0" collapsed="false">
      <c r="A26" s="13" t="s">
        <v>161</v>
      </c>
      <c r="B26" s="13" t="s">
        <v>177</v>
      </c>
      <c r="C26" s="13"/>
      <c r="D26" s="38" t="n">
        <v>0.0311</v>
      </c>
      <c r="E26" s="39" t="s">
        <v>178</v>
      </c>
      <c r="F26" s="39"/>
    </row>
    <row r="27" customFormat="false" ht="30" hidden="false" customHeight="true" outlineLevel="0" collapsed="false">
      <c r="A27" s="13" t="s">
        <v>163</v>
      </c>
      <c r="B27" s="13" t="s">
        <v>179</v>
      </c>
      <c r="C27" s="13"/>
      <c r="D27" s="38" t="n">
        <v>0.05</v>
      </c>
      <c r="E27" s="39" t="s">
        <v>180</v>
      </c>
      <c r="F27" s="39"/>
    </row>
    <row r="28" customFormat="false" ht="30" hidden="false" customHeight="true" outlineLevel="0" collapsed="false">
      <c r="A28" s="13" t="s">
        <v>164</v>
      </c>
      <c r="B28" s="13" t="s">
        <v>181</v>
      </c>
      <c r="C28" s="13"/>
      <c r="D28" s="38" t="n">
        <v>0.15</v>
      </c>
      <c r="E28" s="39" t="s">
        <v>182</v>
      </c>
      <c r="F28" s="39"/>
    </row>
  </sheetData>
  <mergeCells count="15">
    <mergeCell ref="A1:F2"/>
    <mergeCell ref="A3:F3"/>
    <mergeCell ref="A20:F20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40" t="s">
        <v>183</v>
      </c>
      <c r="B1" s="40"/>
      <c r="C1" s="40"/>
      <c r="D1" s="40"/>
      <c r="E1" s="40"/>
    </row>
    <row r="3" customFormat="false" ht="15" hidden="false" customHeight="false" outlineLevel="0" collapsed="false">
      <c r="A3" s="15" t="s">
        <v>184</v>
      </c>
      <c r="B3" s="15" t="s">
        <v>185</v>
      </c>
      <c r="C3" s="15" t="s">
        <v>186</v>
      </c>
      <c r="D3" s="15" t="s">
        <v>187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188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189</v>
      </c>
    </row>
    <row r="6" customFormat="false" ht="30" hidden="false" customHeight="true" outlineLevel="0" collapsed="false">
      <c r="A6" s="13" t="s">
        <v>190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191</v>
      </c>
    </row>
    <row r="7" customFormat="false" ht="30" hidden="false" customHeight="true" outlineLevel="0" collapsed="false">
      <c r="A7" s="41" t="s">
        <v>192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41"/>
    </row>
    <row r="9" customFormat="false" ht="27.75" hidden="false" customHeight="true" outlineLevel="0" collapsed="false">
      <c r="A9" s="36" t="s">
        <v>193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194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195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2" t="s">
        <v>196</v>
      </c>
    </row>
    <row r="2" customFormat="false" ht="15" hidden="false" customHeight="false" outlineLevel="0" collapsed="false">
      <c r="A2" s="43" t="s">
        <v>197</v>
      </c>
    </row>
    <row r="4" customFormat="false" ht="15" hidden="false" customHeight="false" outlineLevel="0" collapsed="false">
      <c r="A4" s="10" t="s">
        <v>198</v>
      </c>
      <c r="B4" s="10" t="s">
        <v>30</v>
      </c>
      <c r="C4" s="10" t="s">
        <v>31</v>
      </c>
      <c r="D4" s="10" t="s">
        <v>199</v>
      </c>
      <c r="E4" s="10" t="s">
        <v>200</v>
      </c>
      <c r="F4" s="10" t="s">
        <v>173</v>
      </c>
    </row>
    <row r="5" customFormat="false" ht="1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201</v>
      </c>
      <c r="E5" s="44" t="n">
        <f aca="false">도비!G8</f>
        <v>4500000</v>
      </c>
      <c r="F5" s="13" t="s">
        <v>202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203</v>
      </c>
      <c r="E6" s="44" t="n">
        <f aca="false">도비!G9</f>
        <v>520000</v>
      </c>
      <c r="F6" s="13" t="s">
        <v>204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205</v>
      </c>
      <c r="E7" s="44" t="n">
        <f aca="false">도비!G10</f>
        <v>960000</v>
      </c>
      <c r="F7" s="13" t="s">
        <v>204</v>
      </c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206</v>
      </c>
      <c r="E8" s="44" t="n">
        <f aca="false">도비!G11</f>
        <v>2400000</v>
      </c>
      <c r="F8" s="13" t="s">
        <v>207</v>
      </c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208</v>
      </c>
      <c r="E9" s="44" t="n">
        <f aca="false">도비!G12</f>
        <v>1700000</v>
      </c>
      <c r="F9" s="13" t="s">
        <v>207</v>
      </c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209</v>
      </c>
      <c r="E10" s="44" t="n">
        <f aca="false">도비!G13</f>
        <v>640000</v>
      </c>
      <c r="F10" s="13" t="s">
        <v>210</v>
      </c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211</v>
      </c>
      <c r="E11" s="44" t="n">
        <f aca="false">도비!G14</f>
        <v>2000000</v>
      </c>
      <c r="F11" s="13" t="s">
        <v>210</v>
      </c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212</v>
      </c>
      <c r="E12" s="44" t="n">
        <f aca="false">도비!G15</f>
        <v>3000000</v>
      </c>
      <c r="F12" s="13" t="s">
        <v>213</v>
      </c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212</v>
      </c>
      <c r="E13" s="44" t="n">
        <f aca="false">도비!G16</f>
        <v>1000000</v>
      </c>
      <c r="F13" s="13" t="s">
        <v>214</v>
      </c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215</v>
      </c>
      <c r="E14" s="44" t="n">
        <f aca="false">도비!G17</f>
        <v>1210000</v>
      </c>
      <c r="F14" s="13" t="s">
        <v>216</v>
      </c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217</v>
      </c>
      <c r="E15" s="44" t="n">
        <f aca="false">도비!G18</f>
        <v>500000</v>
      </c>
      <c r="F15" s="13" t="s">
        <v>218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219</v>
      </c>
      <c r="E16" s="44" t="n">
        <f aca="false">도비!G19</f>
        <v>520000</v>
      </c>
      <c r="F16" s="13" t="s">
        <v>220</v>
      </c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212</v>
      </c>
      <c r="E17" s="44" t="n">
        <f aca="false">도비!G20</f>
        <v>380000</v>
      </c>
      <c r="F17" s="13" t="s">
        <v>221</v>
      </c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222</v>
      </c>
      <c r="E18" s="44" t="n">
        <f aca="false">도비!G21</f>
        <v>600000</v>
      </c>
      <c r="F18" s="13" t="s">
        <v>223</v>
      </c>
    </row>
    <row r="19" customFormat="false" ht="23.85" hidden="false" customHeight="false" outlineLevel="0" collapsed="false">
      <c r="A19" s="20"/>
      <c r="B19" s="45" t="s">
        <v>73</v>
      </c>
      <c r="C19" s="20"/>
      <c r="D19" s="20"/>
      <c r="E19" s="46" t="n">
        <f aca="false">도비!$G$32-SUM(도비!$G$22:$G$24)</f>
        <v>4592000</v>
      </c>
      <c r="F19" s="20" t="s">
        <v>224</v>
      </c>
    </row>
    <row r="20" customFormat="false" ht="15" hidden="false" customHeight="false" outlineLevel="0" collapsed="false">
      <c r="A20" s="20"/>
      <c r="B20" s="45" t="s">
        <v>225</v>
      </c>
      <c r="C20" s="20"/>
      <c r="D20" s="20"/>
      <c r="E20" s="46" t="n">
        <f aca="false">도비!$G$32</f>
        <v>24522000</v>
      </c>
      <c r="F20" s="20" t="s">
        <v>226</v>
      </c>
    </row>
    <row r="22" customFormat="false" ht="1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227</v>
      </c>
      <c r="E22" s="44" t="n">
        <f aca="false">용접!G8</f>
        <v>4500000</v>
      </c>
      <c r="F22" s="13" t="s">
        <v>218</v>
      </c>
    </row>
    <row r="23" customFormat="false" ht="1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228</v>
      </c>
      <c r="E23" s="44" t="n">
        <f aca="false">용접!G9</f>
        <v>2100000</v>
      </c>
      <c r="F23" s="13" t="s">
        <v>218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229</v>
      </c>
      <c r="E24" s="44" t="n">
        <f aca="false">용접!G10</f>
        <v>1200000</v>
      </c>
      <c r="F24" s="13" t="s">
        <v>218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230</v>
      </c>
      <c r="E25" s="44" t="n">
        <f aca="false">용접!G11</f>
        <v>800000</v>
      </c>
      <c r="F25" s="13" t="s">
        <v>218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231</v>
      </c>
      <c r="E26" s="44" t="n">
        <f aca="false">용접!G12</f>
        <v>1250000</v>
      </c>
      <c r="F26" s="13" t="s">
        <v>232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233</v>
      </c>
      <c r="E27" s="44" t="n">
        <f aca="false">용접!G13</f>
        <v>3600000</v>
      </c>
      <c r="F27" s="13" t="s">
        <v>210</v>
      </c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212</v>
      </c>
      <c r="E28" s="44" t="n">
        <f aca="false">용접!G14</f>
        <v>800000</v>
      </c>
      <c r="F28" s="13" t="s">
        <v>210</v>
      </c>
    </row>
    <row r="29" customFormat="false" ht="1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234</v>
      </c>
      <c r="E29" s="44" t="n">
        <f aca="false">용접!G15</f>
        <v>3680000</v>
      </c>
      <c r="F29" s="13" t="s">
        <v>214</v>
      </c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212</v>
      </c>
      <c r="E30" s="44" t="n">
        <f aca="false">용접!G16</f>
        <v>1000000</v>
      </c>
      <c r="F30" s="13" t="s">
        <v>210</v>
      </c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235</v>
      </c>
      <c r="E31" s="44" t="n">
        <f aca="false">용접!G17</f>
        <v>2200000</v>
      </c>
      <c r="F31" s="13" t="s">
        <v>210</v>
      </c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236</v>
      </c>
      <c r="E32" s="44" t="n">
        <f aca="false">용접!G18</f>
        <v>1400000</v>
      </c>
      <c r="F32" s="13" t="s">
        <v>237</v>
      </c>
    </row>
    <row r="33" customFormat="false" ht="23.85" hidden="false" customHeight="false" outlineLevel="0" collapsed="false">
      <c r="A33" s="20"/>
      <c r="B33" s="45" t="s">
        <v>73</v>
      </c>
      <c r="C33" s="20"/>
      <c r="D33" s="20"/>
      <c r="E33" s="46" t="n">
        <f aca="false">용접!$G$29-SUM(용접!$G$19:$G$21)</f>
        <v>5191000</v>
      </c>
      <c r="F33" s="20" t="s">
        <v>224</v>
      </c>
    </row>
    <row r="34" customFormat="false" ht="15" hidden="false" customHeight="false" outlineLevel="0" collapsed="false">
      <c r="A34" s="20"/>
      <c r="B34" s="45" t="s">
        <v>225</v>
      </c>
      <c r="C34" s="20"/>
      <c r="D34" s="20"/>
      <c r="E34" s="46" t="n">
        <f aca="false">용접!$G$29</f>
        <v>27721000</v>
      </c>
      <c r="F34" s="20" t="s">
        <v>226</v>
      </c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238</v>
      </c>
      <c r="E36" s="44" t="n">
        <f aca="false">베이스!G8</f>
        <v>6993700</v>
      </c>
      <c r="F36" s="13" t="s">
        <v>239</v>
      </c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212</v>
      </c>
      <c r="E37" s="44" t="n">
        <f aca="false">베이스!G9</f>
        <v>160000</v>
      </c>
      <c r="F37" s="13" t="s">
        <v>220</v>
      </c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212</v>
      </c>
      <c r="E38" s="44" t="n">
        <f aca="false">베이스!G10</f>
        <v>160000</v>
      </c>
      <c r="F38" s="13" t="s">
        <v>220</v>
      </c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212</v>
      </c>
      <c r="E39" s="44" t="n">
        <f aca="false">베이스!G11</f>
        <v>1000000</v>
      </c>
      <c r="F39" s="13" t="s">
        <v>214</v>
      </c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212</v>
      </c>
      <c r="E40" s="44" t="n">
        <f aca="false">베이스!G12</f>
        <v>420000</v>
      </c>
      <c r="F40" s="13" t="s">
        <v>214</v>
      </c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228</v>
      </c>
      <c r="E41" s="44" t="n">
        <f aca="false">베이스!G13</f>
        <v>2100000</v>
      </c>
      <c r="F41" s="13" t="s">
        <v>218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240</v>
      </c>
      <c r="E42" s="44" t="n">
        <f aca="false">베이스!G14</f>
        <v>1500000</v>
      </c>
      <c r="F42" s="13" t="s">
        <v>218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241</v>
      </c>
      <c r="E43" s="44" t="n">
        <f aca="false">베이스!G15</f>
        <v>600000</v>
      </c>
      <c r="F43" s="13" t="s">
        <v>218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242</v>
      </c>
      <c r="E44" s="44" t="n">
        <f aca="false">베이스!G16</f>
        <v>750000</v>
      </c>
      <c r="F44" s="13" t="s">
        <v>232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243</v>
      </c>
      <c r="E45" s="44" t="n">
        <f aca="false">베이스!G17</f>
        <v>600000</v>
      </c>
      <c r="F45" s="13" t="s">
        <v>210</v>
      </c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244</v>
      </c>
      <c r="E46" s="44" t="n">
        <f aca="false">베이스!G18</f>
        <v>300000</v>
      </c>
      <c r="F46" s="13" t="s">
        <v>210</v>
      </c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245</v>
      </c>
      <c r="E47" s="44" t="n">
        <f aca="false">베이스!G19</f>
        <v>1200000</v>
      </c>
      <c r="F47" s="13" t="s">
        <v>210</v>
      </c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246</v>
      </c>
      <c r="E48" s="44" t="n">
        <f aca="false">베이스!G20</f>
        <v>750000</v>
      </c>
      <c r="F48" s="13" t="s">
        <v>237</v>
      </c>
    </row>
    <row r="49" customFormat="false" ht="23.85" hidden="false" customHeight="false" outlineLevel="0" collapsed="false">
      <c r="A49" s="20"/>
      <c r="B49" s="45" t="s">
        <v>73</v>
      </c>
      <c r="C49" s="20"/>
      <c r="D49" s="20"/>
      <c r="E49" s="46" t="n">
        <f aca="false">베이스!$G$31-SUM(베이스!$G$21:$G$23)</f>
        <v>2915300</v>
      </c>
      <c r="F49" s="20" t="s">
        <v>224</v>
      </c>
    </row>
    <row r="50" customFormat="false" ht="15" hidden="false" customHeight="false" outlineLevel="0" collapsed="false">
      <c r="A50" s="20"/>
      <c r="B50" s="45" t="s">
        <v>225</v>
      </c>
      <c r="C50" s="20"/>
      <c r="D50" s="20"/>
      <c r="E50" s="46" t="n">
        <f aca="false">베이스!$G$31</f>
        <v>19449000</v>
      </c>
      <c r="F50" s="20" t="s">
        <v>226</v>
      </c>
    </row>
    <row r="52" customFormat="false" ht="15" hidden="false" customHeight="false" outlineLevel="0" collapsed="false">
      <c r="A52" s="13" t="s">
        <v>247</v>
      </c>
      <c r="B52" s="13" t="s">
        <v>38</v>
      </c>
      <c r="C52" s="13" t="s">
        <v>248</v>
      </c>
      <c r="D52" s="13" t="s">
        <v>249</v>
      </c>
      <c r="E52" s="44" t="n">
        <f aca="false">B_도비!G8</f>
        <v>6300000</v>
      </c>
      <c r="F52" s="13" t="s">
        <v>202</v>
      </c>
    </row>
    <row r="53" customFormat="false" ht="15" hidden="false" customHeight="false" outlineLevel="0" collapsed="false">
      <c r="A53" s="13" t="s">
        <v>247</v>
      </c>
      <c r="B53" s="13" t="s">
        <v>41</v>
      </c>
      <c r="C53" s="13" t="s">
        <v>42</v>
      </c>
      <c r="D53" s="13" t="s">
        <v>250</v>
      </c>
      <c r="E53" s="44" t="n">
        <f aca="false">B_도비!G9</f>
        <v>1040000</v>
      </c>
      <c r="F53" s="13" t="s">
        <v>204</v>
      </c>
    </row>
    <row r="54" customFormat="false" ht="15" hidden="false" customHeight="false" outlineLevel="0" collapsed="false">
      <c r="A54" s="13" t="s">
        <v>247</v>
      </c>
      <c r="B54" s="13" t="s">
        <v>44</v>
      </c>
      <c r="C54" s="13" t="s">
        <v>251</v>
      </c>
      <c r="D54" s="13" t="s">
        <v>205</v>
      </c>
      <c r="E54" s="44" t="n">
        <f aca="false">B_도비!G10</f>
        <v>960000</v>
      </c>
      <c r="F54" s="13" t="s">
        <v>204</v>
      </c>
    </row>
    <row r="55" customFormat="false" ht="15" hidden="false" customHeight="false" outlineLevel="0" collapsed="false">
      <c r="A55" s="13" t="s">
        <v>247</v>
      </c>
      <c r="B55" s="13" t="s">
        <v>47</v>
      </c>
      <c r="C55" s="13" t="s">
        <v>252</v>
      </c>
      <c r="D55" s="13" t="s">
        <v>206</v>
      </c>
      <c r="E55" s="44" t="n">
        <f aca="false">B_도비!G11</f>
        <v>2400000</v>
      </c>
      <c r="F55" s="13" t="s">
        <v>207</v>
      </c>
    </row>
    <row r="56" customFormat="false" ht="15" hidden="false" customHeight="false" outlineLevel="0" collapsed="false">
      <c r="A56" s="13" t="s">
        <v>247</v>
      </c>
      <c r="B56" s="13" t="s">
        <v>47</v>
      </c>
      <c r="C56" s="13" t="s">
        <v>253</v>
      </c>
      <c r="D56" s="13" t="s">
        <v>208</v>
      </c>
      <c r="E56" s="44" t="n">
        <f aca="false">B_도비!G12</f>
        <v>1700000</v>
      </c>
      <c r="F56" s="13" t="s">
        <v>207</v>
      </c>
    </row>
    <row r="57" customFormat="false" ht="15" hidden="false" customHeight="false" outlineLevel="0" collapsed="false">
      <c r="A57" s="13" t="s">
        <v>247</v>
      </c>
      <c r="B57" s="13" t="s">
        <v>47</v>
      </c>
      <c r="C57" s="13" t="s">
        <v>254</v>
      </c>
      <c r="D57" s="13" t="s">
        <v>255</v>
      </c>
      <c r="E57" s="44" t="n">
        <f aca="false">B_도비!G13</f>
        <v>3500000</v>
      </c>
      <c r="F57" s="13" t="s">
        <v>207</v>
      </c>
    </row>
    <row r="58" customFormat="false" ht="23.85" hidden="false" customHeight="false" outlineLevel="0" collapsed="false">
      <c r="A58" s="13" t="s">
        <v>247</v>
      </c>
      <c r="B58" s="13" t="s">
        <v>256</v>
      </c>
      <c r="C58" s="13" t="s">
        <v>257</v>
      </c>
      <c r="D58" s="13" t="s">
        <v>212</v>
      </c>
      <c r="E58" s="44" t="n">
        <f aca="false">B_도비!G14</f>
        <v>1200000</v>
      </c>
      <c r="F58" s="13" t="s">
        <v>210</v>
      </c>
    </row>
    <row r="59" customFormat="false" ht="15" hidden="false" customHeight="false" outlineLevel="0" collapsed="false">
      <c r="A59" s="13" t="s">
        <v>247</v>
      </c>
      <c r="B59" s="13" t="s">
        <v>258</v>
      </c>
      <c r="C59" s="13" t="s">
        <v>259</v>
      </c>
      <c r="D59" s="13" t="s">
        <v>212</v>
      </c>
      <c r="E59" s="44" t="n">
        <f aca="false">B_도비!G15</f>
        <v>800000</v>
      </c>
      <c r="F59" s="13" t="s">
        <v>213</v>
      </c>
    </row>
    <row r="60" customFormat="false" ht="15" hidden="false" customHeight="false" outlineLevel="0" collapsed="false">
      <c r="A60" s="13" t="s">
        <v>247</v>
      </c>
      <c r="B60" s="13" t="s">
        <v>51</v>
      </c>
      <c r="C60" s="13" t="s">
        <v>52</v>
      </c>
      <c r="D60" s="13" t="s">
        <v>260</v>
      </c>
      <c r="E60" s="44" t="n">
        <f aca="false">B_도비!G16</f>
        <v>1280000</v>
      </c>
      <c r="F60" s="13" t="s">
        <v>210</v>
      </c>
    </row>
    <row r="61" customFormat="false" ht="15" hidden="false" customHeight="false" outlineLevel="0" collapsed="false">
      <c r="A61" s="13" t="s">
        <v>247</v>
      </c>
      <c r="B61" s="13" t="s">
        <v>57</v>
      </c>
      <c r="C61" s="13" t="s">
        <v>58</v>
      </c>
      <c r="D61" s="13" t="s">
        <v>212</v>
      </c>
      <c r="E61" s="44" t="n">
        <f aca="false">B_도비!G17</f>
        <v>3000000</v>
      </c>
      <c r="F61" s="13" t="s">
        <v>213</v>
      </c>
    </row>
    <row r="62" customFormat="false" ht="15" hidden="false" customHeight="false" outlineLevel="0" collapsed="false">
      <c r="A62" s="13" t="s">
        <v>247</v>
      </c>
      <c r="B62" s="13" t="s">
        <v>261</v>
      </c>
      <c r="C62" s="13" t="s">
        <v>262</v>
      </c>
      <c r="D62" s="13" t="s">
        <v>212</v>
      </c>
      <c r="E62" s="44" t="n">
        <f aca="false">B_도비!G18</f>
        <v>900000</v>
      </c>
      <c r="F62" s="13" t="s">
        <v>214</v>
      </c>
    </row>
    <row r="63" customFormat="false" ht="15" hidden="false" customHeight="false" outlineLevel="0" collapsed="false">
      <c r="A63" s="13" t="s">
        <v>247</v>
      </c>
      <c r="B63" s="13" t="s">
        <v>59</v>
      </c>
      <c r="C63" s="13" t="s">
        <v>263</v>
      </c>
      <c r="D63" s="13" t="s">
        <v>212</v>
      </c>
      <c r="E63" s="44" t="n">
        <f aca="false">B_도비!G19</f>
        <v>1000000</v>
      </c>
      <c r="F63" s="13" t="s">
        <v>214</v>
      </c>
    </row>
    <row r="64" customFormat="false" ht="15" hidden="false" customHeight="false" outlineLevel="0" collapsed="false">
      <c r="A64" s="13" t="s">
        <v>247</v>
      </c>
      <c r="B64" s="13" t="s">
        <v>61</v>
      </c>
      <c r="C64" s="13" t="s">
        <v>62</v>
      </c>
      <c r="D64" s="13" t="s">
        <v>264</v>
      </c>
      <c r="E64" s="44" t="n">
        <f aca="false">B_도비!G20</f>
        <v>1210000</v>
      </c>
      <c r="F64" s="13" t="s">
        <v>216</v>
      </c>
    </row>
    <row r="65" customFormat="false" ht="15" hidden="false" customHeight="false" outlineLevel="0" collapsed="false">
      <c r="A65" s="13" t="s">
        <v>247</v>
      </c>
      <c r="B65" s="13" t="s">
        <v>64</v>
      </c>
      <c r="C65" s="13" t="s">
        <v>65</v>
      </c>
      <c r="D65" s="13" t="s">
        <v>217</v>
      </c>
      <c r="E65" s="44" t="n">
        <f aca="false">B_도비!G21</f>
        <v>500000</v>
      </c>
      <c r="F65" s="13" t="s">
        <v>218</v>
      </c>
    </row>
    <row r="66" customFormat="false" ht="15" hidden="false" customHeight="false" outlineLevel="0" collapsed="false">
      <c r="A66" s="13" t="s">
        <v>247</v>
      </c>
      <c r="B66" s="13" t="s">
        <v>67</v>
      </c>
      <c r="C66" s="13" t="s">
        <v>68</v>
      </c>
      <c r="D66" s="13" t="s">
        <v>219</v>
      </c>
      <c r="E66" s="44" t="n">
        <f aca="false">B_도비!G22</f>
        <v>520000</v>
      </c>
      <c r="F66" s="13" t="s">
        <v>220</v>
      </c>
    </row>
    <row r="67" customFormat="false" ht="15" hidden="false" customHeight="false" outlineLevel="0" collapsed="false">
      <c r="A67" s="13" t="s">
        <v>247</v>
      </c>
      <c r="B67" s="13" t="s">
        <v>70</v>
      </c>
      <c r="C67" s="13"/>
      <c r="D67" s="13" t="s">
        <v>212</v>
      </c>
      <c r="E67" s="44" t="n">
        <f aca="false">B_도비!G23</f>
        <v>380000</v>
      </c>
      <c r="F67" s="13" t="s">
        <v>221</v>
      </c>
    </row>
    <row r="68" customFormat="false" ht="15" hidden="false" customHeight="false" outlineLevel="0" collapsed="false">
      <c r="A68" s="13" t="s">
        <v>247</v>
      </c>
      <c r="B68" s="13" t="s">
        <v>71</v>
      </c>
      <c r="C68" s="13" t="s">
        <v>72</v>
      </c>
      <c r="D68" s="13" t="s">
        <v>222</v>
      </c>
      <c r="E68" s="44" t="n">
        <f aca="false">B_도비!G24</f>
        <v>600000</v>
      </c>
      <c r="F68" s="13" t="s">
        <v>223</v>
      </c>
    </row>
    <row r="69" customFormat="false" ht="23.85" hidden="false" customHeight="false" outlineLevel="0" collapsed="false">
      <c r="A69" s="20"/>
      <c r="B69" s="45" t="s">
        <v>73</v>
      </c>
      <c r="C69" s="20"/>
      <c r="D69" s="20"/>
      <c r="E69" s="46" t="n">
        <f aca="false">B_도비!$G$35-SUM(B_도비!$G$25:$G$27)</f>
        <v>6237000</v>
      </c>
      <c r="F69" s="20" t="s">
        <v>224</v>
      </c>
    </row>
    <row r="70" customFormat="false" ht="15" hidden="false" customHeight="false" outlineLevel="0" collapsed="false">
      <c r="A70" s="20"/>
      <c r="B70" s="45" t="s">
        <v>225</v>
      </c>
      <c r="C70" s="20"/>
      <c r="D70" s="20"/>
      <c r="E70" s="46" t="n">
        <f aca="false">B_도비!$G$35</f>
        <v>33527000</v>
      </c>
      <c r="F70" s="20" t="s">
        <v>265</v>
      </c>
    </row>
    <row r="72" customFormat="false" ht="15" hidden="false" customHeight="false" outlineLevel="0" collapsed="false">
      <c r="A72" s="13" t="s">
        <v>266</v>
      </c>
      <c r="B72" s="13" t="s">
        <v>80</v>
      </c>
      <c r="C72" s="13" t="s">
        <v>81</v>
      </c>
      <c r="D72" s="13" t="s">
        <v>227</v>
      </c>
      <c r="E72" s="44" t="n">
        <f aca="false">B_용접!G8</f>
        <v>4500000</v>
      </c>
      <c r="F72" s="13" t="s">
        <v>218</v>
      </c>
    </row>
    <row r="73" customFormat="false" ht="15" hidden="false" customHeight="false" outlineLevel="0" collapsed="false">
      <c r="A73" s="13" t="s">
        <v>266</v>
      </c>
      <c r="B73" s="13" t="s">
        <v>83</v>
      </c>
      <c r="C73" s="13" t="s">
        <v>84</v>
      </c>
      <c r="D73" s="13" t="s">
        <v>228</v>
      </c>
      <c r="E73" s="44" t="n">
        <f aca="false">B_용접!G9</f>
        <v>2100000</v>
      </c>
      <c r="F73" s="13" t="s">
        <v>218</v>
      </c>
    </row>
    <row r="74" customFormat="false" ht="15" hidden="false" customHeight="false" outlineLevel="0" collapsed="false">
      <c r="A74" s="13" t="s">
        <v>266</v>
      </c>
      <c r="B74" s="13" t="s">
        <v>86</v>
      </c>
      <c r="C74" s="13" t="s">
        <v>87</v>
      </c>
      <c r="D74" s="13" t="s">
        <v>229</v>
      </c>
      <c r="E74" s="44" t="n">
        <f aca="false">B_용접!G10</f>
        <v>1200000</v>
      </c>
      <c r="F74" s="13" t="s">
        <v>218</v>
      </c>
    </row>
    <row r="75" customFormat="false" ht="15" hidden="false" customHeight="false" outlineLevel="0" collapsed="false">
      <c r="A75" s="13" t="s">
        <v>266</v>
      </c>
      <c r="B75" s="13" t="s">
        <v>89</v>
      </c>
      <c r="C75" s="13" t="s">
        <v>90</v>
      </c>
      <c r="D75" s="13" t="s">
        <v>230</v>
      </c>
      <c r="E75" s="44" t="n">
        <f aca="false">B_용접!G11</f>
        <v>800000</v>
      </c>
      <c r="F75" s="13" t="s">
        <v>218</v>
      </c>
    </row>
    <row r="76" customFormat="false" ht="23.85" hidden="false" customHeight="false" outlineLevel="0" collapsed="false">
      <c r="A76" s="13" t="s">
        <v>266</v>
      </c>
      <c r="B76" s="13" t="s">
        <v>91</v>
      </c>
      <c r="C76" s="13" t="s">
        <v>92</v>
      </c>
      <c r="D76" s="13" t="s">
        <v>231</v>
      </c>
      <c r="E76" s="44" t="n">
        <f aca="false">B_용접!G12</f>
        <v>1250000</v>
      </c>
      <c r="F76" s="13" t="s">
        <v>232</v>
      </c>
    </row>
    <row r="77" customFormat="false" ht="15" hidden="false" customHeight="false" outlineLevel="0" collapsed="false">
      <c r="A77" s="13" t="s">
        <v>266</v>
      </c>
      <c r="B77" s="13" t="s">
        <v>94</v>
      </c>
      <c r="C77" s="13" t="s">
        <v>95</v>
      </c>
      <c r="D77" s="13" t="s">
        <v>233</v>
      </c>
      <c r="E77" s="44" t="n">
        <f aca="false">B_용접!G13</f>
        <v>3600000</v>
      </c>
      <c r="F77" s="13" t="s">
        <v>210</v>
      </c>
    </row>
    <row r="78" customFormat="false" ht="15" hidden="false" customHeight="false" outlineLevel="0" collapsed="false">
      <c r="A78" s="13" t="s">
        <v>266</v>
      </c>
      <c r="B78" s="13" t="s">
        <v>97</v>
      </c>
      <c r="C78" s="13" t="s">
        <v>98</v>
      </c>
      <c r="D78" s="13" t="s">
        <v>212</v>
      </c>
      <c r="E78" s="44" t="n">
        <f aca="false">B_용접!G14</f>
        <v>800000</v>
      </c>
      <c r="F78" s="13" t="s">
        <v>210</v>
      </c>
    </row>
    <row r="79" customFormat="false" ht="15" hidden="false" customHeight="false" outlineLevel="0" collapsed="false">
      <c r="A79" s="13" t="s">
        <v>266</v>
      </c>
      <c r="B79" s="13" t="s">
        <v>99</v>
      </c>
      <c r="C79" s="13" t="s">
        <v>100</v>
      </c>
      <c r="D79" s="13" t="s">
        <v>234</v>
      </c>
      <c r="E79" s="44" t="n">
        <f aca="false">B_용접!G15</f>
        <v>3680000</v>
      </c>
      <c r="F79" s="13" t="s">
        <v>214</v>
      </c>
    </row>
    <row r="80" customFormat="false" ht="15" hidden="false" customHeight="false" outlineLevel="0" collapsed="false">
      <c r="A80" s="13" t="s">
        <v>266</v>
      </c>
      <c r="B80" s="13" t="s">
        <v>101</v>
      </c>
      <c r="C80" s="13"/>
      <c r="D80" s="13" t="s">
        <v>212</v>
      </c>
      <c r="E80" s="44" t="n">
        <f aca="false">B_용접!G16</f>
        <v>1000000</v>
      </c>
      <c r="F80" s="13" t="s">
        <v>210</v>
      </c>
    </row>
    <row r="81" customFormat="false" ht="15" hidden="false" customHeight="false" outlineLevel="0" collapsed="false">
      <c r="A81" s="13" t="s">
        <v>266</v>
      </c>
      <c r="B81" s="13" t="s">
        <v>102</v>
      </c>
      <c r="C81" s="13" t="s">
        <v>103</v>
      </c>
      <c r="D81" s="13" t="s">
        <v>235</v>
      </c>
      <c r="E81" s="44" t="n">
        <f aca="false">B_용접!G17</f>
        <v>2200000</v>
      </c>
      <c r="F81" s="13" t="s">
        <v>210</v>
      </c>
    </row>
    <row r="82" customFormat="false" ht="15" hidden="false" customHeight="false" outlineLevel="0" collapsed="false">
      <c r="A82" s="13" t="s">
        <v>266</v>
      </c>
      <c r="B82" s="13" t="s">
        <v>71</v>
      </c>
      <c r="C82" s="13" t="s">
        <v>105</v>
      </c>
      <c r="D82" s="13" t="s">
        <v>236</v>
      </c>
      <c r="E82" s="44" t="n">
        <f aca="false">B_용접!G18</f>
        <v>1400000</v>
      </c>
      <c r="F82" s="13" t="s">
        <v>237</v>
      </c>
    </row>
    <row r="83" customFormat="false" ht="23.85" hidden="false" customHeight="false" outlineLevel="0" collapsed="false">
      <c r="A83" s="20"/>
      <c r="B83" s="45" t="s">
        <v>73</v>
      </c>
      <c r="C83" s="20"/>
      <c r="D83" s="20"/>
      <c r="E83" s="46" t="n">
        <f aca="false">B_용접!$G$29-SUM(B_용접!$G$19:$G$21)</f>
        <v>5191000</v>
      </c>
      <c r="F83" s="20" t="s">
        <v>224</v>
      </c>
    </row>
    <row r="84" customFormat="false" ht="15" hidden="false" customHeight="false" outlineLevel="0" collapsed="false">
      <c r="A84" s="20"/>
      <c r="B84" s="45" t="s">
        <v>225</v>
      </c>
      <c r="C84" s="20"/>
      <c r="D84" s="20"/>
      <c r="E84" s="46" t="n">
        <f aca="false">B_용접!$G$29</f>
        <v>27721000</v>
      </c>
      <c r="F84" s="20" t="s">
        <v>265</v>
      </c>
    </row>
    <row r="86" customFormat="false" ht="15" hidden="false" customHeight="false" outlineLevel="0" collapsed="false">
      <c r="A86" s="13" t="s">
        <v>267</v>
      </c>
      <c r="B86" s="13" t="s">
        <v>268</v>
      </c>
      <c r="C86" s="13" t="s">
        <v>269</v>
      </c>
      <c r="D86" s="13" t="s">
        <v>270</v>
      </c>
      <c r="E86" s="44" t="n">
        <f aca="false">B_조방!G8</f>
        <v>0</v>
      </c>
      <c r="F86" s="13" t="s">
        <v>271</v>
      </c>
    </row>
    <row r="87" customFormat="false" ht="15" hidden="false" customHeight="false" outlineLevel="0" collapsed="false">
      <c r="A87" s="13" t="s">
        <v>267</v>
      </c>
      <c r="B87" s="13" t="s">
        <v>99</v>
      </c>
      <c r="C87" s="13" t="s">
        <v>116</v>
      </c>
      <c r="D87" s="13" t="s">
        <v>212</v>
      </c>
      <c r="E87" s="44" t="n">
        <f aca="false">B_조방!G9</f>
        <v>420000</v>
      </c>
      <c r="F87" s="13" t="s">
        <v>214</v>
      </c>
    </row>
    <row r="88" customFormat="false" ht="15" hidden="false" customHeight="false" outlineLevel="0" collapsed="false">
      <c r="A88" s="13" t="s">
        <v>267</v>
      </c>
      <c r="B88" s="13" t="s">
        <v>272</v>
      </c>
      <c r="C88" s="13" t="s">
        <v>273</v>
      </c>
      <c r="D88" s="13" t="s">
        <v>212</v>
      </c>
      <c r="E88" s="44" t="n">
        <f aca="false">B_조방!G10</f>
        <v>380000</v>
      </c>
      <c r="F88" s="13" t="s">
        <v>214</v>
      </c>
    </row>
    <row r="89" customFormat="false" ht="15" hidden="false" customHeight="false" outlineLevel="0" collapsed="false">
      <c r="A89" s="13" t="s">
        <v>267</v>
      </c>
      <c r="B89" s="13" t="s">
        <v>120</v>
      </c>
      <c r="C89" s="13" t="s">
        <v>274</v>
      </c>
      <c r="D89" s="13" t="s">
        <v>275</v>
      </c>
      <c r="E89" s="44" t="n">
        <f aca="false">B_조방!G11</f>
        <v>700000</v>
      </c>
      <c r="F89" s="13" t="s">
        <v>218</v>
      </c>
    </row>
    <row r="90" customFormat="false" ht="15" hidden="false" customHeight="false" outlineLevel="0" collapsed="false">
      <c r="A90" s="13" t="s">
        <v>267</v>
      </c>
      <c r="B90" s="13" t="s">
        <v>80</v>
      </c>
      <c r="C90" s="13" t="s">
        <v>276</v>
      </c>
      <c r="D90" s="13" t="s">
        <v>277</v>
      </c>
      <c r="E90" s="44" t="n">
        <f aca="false">B_조방!G12</f>
        <v>1000000</v>
      </c>
      <c r="F90" s="13" t="s">
        <v>218</v>
      </c>
    </row>
    <row r="91" customFormat="false" ht="15" hidden="false" customHeight="false" outlineLevel="0" collapsed="false">
      <c r="A91" s="13" t="s">
        <v>267</v>
      </c>
      <c r="B91" s="13" t="s">
        <v>89</v>
      </c>
      <c r="C91" s="13" t="s">
        <v>278</v>
      </c>
      <c r="D91" s="13" t="s">
        <v>279</v>
      </c>
      <c r="E91" s="44" t="n">
        <f aca="false">B_조방!G13</f>
        <v>400000</v>
      </c>
      <c r="F91" s="13" t="s">
        <v>218</v>
      </c>
    </row>
    <row r="92" customFormat="false" ht="23.85" hidden="false" customHeight="false" outlineLevel="0" collapsed="false">
      <c r="A92" s="13" t="s">
        <v>267</v>
      </c>
      <c r="B92" s="13" t="s">
        <v>91</v>
      </c>
      <c r="C92" s="13" t="s">
        <v>280</v>
      </c>
      <c r="D92" s="13" t="s">
        <v>281</v>
      </c>
      <c r="E92" s="44" t="n">
        <f aca="false">B_조방!G14</f>
        <v>250000</v>
      </c>
      <c r="F92" s="13" t="s">
        <v>232</v>
      </c>
    </row>
    <row r="93" customFormat="false" ht="15" hidden="false" customHeight="false" outlineLevel="0" collapsed="false">
      <c r="A93" s="13" t="s">
        <v>267</v>
      </c>
      <c r="B93" s="13" t="s">
        <v>120</v>
      </c>
      <c r="C93" s="13" t="s">
        <v>282</v>
      </c>
      <c r="D93" s="13" t="s">
        <v>283</v>
      </c>
      <c r="E93" s="44" t="n">
        <f aca="false">B_조방!G15</f>
        <v>1400000</v>
      </c>
      <c r="F93" s="13" t="s">
        <v>218</v>
      </c>
    </row>
    <row r="94" customFormat="false" ht="15" hidden="false" customHeight="false" outlineLevel="0" collapsed="false">
      <c r="A94" s="13" t="s">
        <v>267</v>
      </c>
      <c r="B94" s="13" t="s">
        <v>71</v>
      </c>
      <c r="C94" s="13" t="s">
        <v>105</v>
      </c>
      <c r="D94" s="13" t="s">
        <v>284</v>
      </c>
      <c r="E94" s="44" t="n">
        <f aca="false">B_조방!G16</f>
        <v>550000</v>
      </c>
      <c r="F94" s="13" t="s">
        <v>237</v>
      </c>
    </row>
    <row r="95" customFormat="false" ht="23.85" hidden="false" customHeight="false" outlineLevel="0" collapsed="false">
      <c r="A95" s="20"/>
      <c r="B95" s="45" t="s">
        <v>73</v>
      </c>
      <c r="C95" s="20"/>
      <c r="D95" s="20"/>
      <c r="E95" s="46" t="n">
        <f aca="false">B_조방!$G$27-SUM(B_조방!$G$17:$G$19)</f>
        <v>1322000</v>
      </c>
      <c r="F95" s="20" t="s">
        <v>224</v>
      </c>
    </row>
    <row r="96" customFormat="false" ht="15" hidden="false" customHeight="false" outlineLevel="0" collapsed="false">
      <c r="A96" s="20"/>
      <c r="B96" s="45" t="s">
        <v>225</v>
      </c>
      <c r="C96" s="20"/>
      <c r="D96" s="20"/>
      <c r="E96" s="46" t="n">
        <f aca="false">B_조방!$G$27</f>
        <v>6422000</v>
      </c>
      <c r="F96" s="20" t="s">
        <v>265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287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288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288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288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289</v>
      </c>
      <c r="B11" s="11" t="s">
        <v>47</v>
      </c>
      <c r="C11" s="13" t="s">
        <v>48</v>
      </c>
      <c r="D11" s="11" t="s">
        <v>290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290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291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291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292</v>
      </c>
      <c r="B17" s="11" t="s">
        <v>61</v>
      </c>
      <c r="C17" s="13" t="s">
        <v>62</v>
      </c>
      <c r="D17" s="11" t="s">
        <v>293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288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294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8" t="s">
        <v>295</v>
      </c>
      <c r="B22" s="48"/>
      <c r="C22" s="48"/>
      <c r="D22" s="48"/>
      <c r="E22" s="48"/>
      <c r="F22" s="48"/>
      <c r="G22" s="49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8" t="s">
        <v>296</v>
      </c>
      <c r="B23" s="48"/>
      <c r="C23" s="48"/>
      <c r="D23" s="48"/>
      <c r="E23" s="48"/>
      <c r="F23" s="48"/>
      <c r="G23" s="49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8" t="s">
        <v>297</v>
      </c>
      <c r="B24" s="48"/>
      <c r="C24" s="48"/>
      <c r="D24" s="48"/>
      <c r="E24" s="48"/>
      <c r="F24" s="48"/>
      <c r="G24" s="49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8" t="s">
        <v>159</v>
      </c>
      <c r="B25" s="48"/>
      <c r="C25" s="48"/>
      <c r="D25" s="48"/>
      <c r="E25" s="48"/>
      <c r="F25" s="48"/>
      <c r="G25" s="49" t="n">
        <f aca="false">G23*원가계산서!$D$24</f>
        <v>230688</v>
      </c>
      <c r="H25" s="20" t="s">
        <v>298</v>
      </c>
      <c r="I25" s="20"/>
    </row>
    <row r="26" customFormat="false" ht="19.5" hidden="false" customHeight="true" outlineLevel="0" collapsed="false">
      <c r="A26" s="48" t="s">
        <v>160</v>
      </c>
      <c r="B26" s="48"/>
      <c r="C26" s="48"/>
      <c r="D26" s="48"/>
      <c r="E26" s="48"/>
      <c r="F26" s="48"/>
      <c r="G26" s="49" t="n">
        <f aca="false">G23*원가계산서!$D$25</f>
        <v>74520</v>
      </c>
      <c r="H26" s="20" t="s">
        <v>299</v>
      </c>
      <c r="I26" s="20"/>
    </row>
    <row r="27" customFormat="false" ht="19.5" hidden="false" customHeight="true" outlineLevel="0" collapsed="false">
      <c r="A27" s="48" t="s">
        <v>161</v>
      </c>
      <c r="B27" s="48"/>
      <c r="C27" s="48"/>
      <c r="D27" s="48"/>
      <c r="E27" s="48"/>
      <c r="F27" s="48"/>
      <c r="G27" s="49" t="n">
        <f aca="false">(G22+G23)*원가계산서!$D$26</f>
        <v>244446</v>
      </c>
      <c r="H27" s="20" t="s">
        <v>300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8" t="s">
        <v>163</v>
      </c>
      <c r="B29" s="48"/>
      <c r="C29" s="48"/>
      <c r="D29" s="48"/>
      <c r="E29" s="48"/>
      <c r="F29" s="48"/>
      <c r="G29" s="49" t="n">
        <f aca="false">G28*원가계산서!$D$27</f>
        <v>1023982.7</v>
      </c>
      <c r="H29" s="20" t="s">
        <v>301</v>
      </c>
      <c r="I29" s="20"/>
    </row>
    <row r="30" customFormat="false" ht="19.5" hidden="false" customHeight="true" outlineLevel="0" collapsed="false">
      <c r="A30" s="48" t="s">
        <v>164</v>
      </c>
      <c r="B30" s="48"/>
      <c r="C30" s="48"/>
      <c r="D30" s="48"/>
      <c r="E30" s="48"/>
      <c r="F30" s="48"/>
      <c r="G30" s="49" t="n">
        <f aca="false">(G23+G24+G25+G26+G27+G29)*원가계산서!$D$28</f>
        <v>3018545.505</v>
      </c>
      <c r="H30" s="20" t="s">
        <v>302</v>
      </c>
      <c r="I30" s="20"/>
    </row>
    <row r="31" customFormat="false" ht="19.5" hidden="false" customHeight="true" outlineLevel="0" collapsed="false">
      <c r="A31" s="48" t="s">
        <v>165</v>
      </c>
      <c r="B31" s="48"/>
      <c r="C31" s="48"/>
      <c r="D31" s="48"/>
      <c r="E31" s="48"/>
      <c r="F31" s="48"/>
      <c r="G31" s="49" t="n">
        <f aca="false">-MOD(G28+G29+G30,1000)</f>
        <v>-182.204999998212</v>
      </c>
      <c r="H31" s="20" t="s">
        <v>303</v>
      </c>
      <c r="I31" s="20"/>
    </row>
    <row r="32" customFormat="false" ht="19.5" hidden="false" customHeight="true" outlineLevel="0" collapsed="false">
      <c r="A32" s="50" t="s">
        <v>225</v>
      </c>
      <c r="B32" s="50"/>
      <c r="C32" s="50"/>
      <c r="D32" s="50"/>
      <c r="E32" s="50"/>
      <c r="F32" s="50"/>
      <c r="G32" s="51" t="n">
        <f aca="false">G28+G29+G30+G31</f>
        <v>24522000</v>
      </c>
      <c r="H32" s="41" t="s">
        <v>226</v>
      </c>
      <c r="I32" s="41"/>
    </row>
    <row r="34" customFormat="false" ht="11.9" hidden="false" customHeight="false" outlineLevel="0" collapsed="false">
      <c r="A34" s="52" t="s">
        <v>304</v>
      </c>
      <c r="B34" s="52"/>
      <c r="C34" s="52"/>
      <c r="D34" s="52"/>
      <c r="E34" s="52"/>
      <c r="F34" s="52"/>
      <c r="G34" s="52"/>
      <c r="H34" s="52"/>
      <c r="I34" s="52"/>
    </row>
    <row r="35" customFormat="false" ht="11.9" hidden="false" customHeight="false" outlineLevel="0" collapsed="false">
      <c r="A35" s="52" t="s">
        <v>305</v>
      </c>
      <c r="B35" s="52"/>
      <c r="C35" s="52"/>
      <c r="D35" s="52"/>
      <c r="E35" s="52"/>
      <c r="F35" s="52"/>
      <c r="G35" s="52"/>
      <c r="H35" s="52"/>
      <c r="I35" s="52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306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288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288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288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288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288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289</v>
      </c>
      <c r="B13" s="11" t="s">
        <v>94</v>
      </c>
      <c r="C13" s="13" t="s">
        <v>95</v>
      </c>
      <c r="D13" s="11" t="s">
        <v>290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291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289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290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8" t="s">
        <v>295</v>
      </c>
      <c r="B19" s="48"/>
      <c r="C19" s="48"/>
      <c r="D19" s="48"/>
      <c r="E19" s="48"/>
      <c r="F19" s="48"/>
      <c r="G19" s="49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8" t="s">
        <v>296</v>
      </c>
      <c r="B20" s="48"/>
      <c r="C20" s="48"/>
      <c r="D20" s="48"/>
      <c r="E20" s="48"/>
      <c r="F20" s="48"/>
      <c r="G20" s="49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8" t="s">
        <v>297</v>
      </c>
      <c r="B21" s="48"/>
      <c r="C21" s="48"/>
      <c r="D21" s="48"/>
      <c r="E21" s="48"/>
      <c r="F21" s="48"/>
      <c r="G21" s="49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8" t="s">
        <v>159</v>
      </c>
      <c r="B22" s="48"/>
      <c r="C22" s="48"/>
      <c r="D22" s="48"/>
      <c r="E22" s="48"/>
      <c r="F22" s="48"/>
      <c r="G22" s="49" t="n">
        <f aca="false">G20*원가계산서!$D$24</f>
        <v>350660</v>
      </c>
      <c r="H22" s="20" t="s">
        <v>298</v>
      </c>
      <c r="I22" s="20"/>
    </row>
    <row r="23" customFormat="false" ht="19.5" hidden="false" customHeight="true" outlineLevel="0" collapsed="false">
      <c r="A23" s="48" t="s">
        <v>160</v>
      </c>
      <c r="B23" s="48"/>
      <c r="C23" s="48"/>
      <c r="D23" s="48"/>
      <c r="E23" s="48"/>
      <c r="F23" s="48"/>
      <c r="G23" s="49" t="n">
        <f aca="false">G20*원가계산서!$D$25</f>
        <v>113275</v>
      </c>
      <c r="H23" s="20" t="s">
        <v>299</v>
      </c>
      <c r="I23" s="20"/>
    </row>
    <row r="24" customFormat="false" ht="19.5" hidden="false" customHeight="true" outlineLevel="0" collapsed="false">
      <c r="A24" s="48" t="s">
        <v>161</v>
      </c>
      <c r="B24" s="48"/>
      <c r="C24" s="48"/>
      <c r="D24" s="48"/>
      <c r="E24" s="48"/>
      <c r="F24" s="48"/>
      <c r="G24" s="49" t="n">
        <f aca="false">(G19+G20)*원가계산서!$D$26</f>
        <v>420783</v>
      </c>
      <c r="H24" s="20" t="s">
        <v>300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8" t="s">
        <v>163</v>
      </c>
      <c r="B26" s="48"/>
      <c r="C26" s="48"/>
      <c r="D26" s="48"/>
      <c r="E26" s="48"/>
      <c r="F26" s="48"/>
      <c r="G26" s="49" t="n">
        <f aca="false">G25*원가계산서!$D$27</f>
        <v>1170735.9</v>
      </c>
      <c r="H26" s="20" t="s">
        <v>301</v>
      </c>
      <c r="I26" s="20"/>
    </row>
    <row r="27" customFormat="false" ht="19.5" hidden="false" customHeight="true" outlineLevel="0" collapsed="false">
      <c r="A27" s="48" t="s">
        <v>164</v>
      </c>
      <c r="B27" s="48"/>
      <c r="C27" s="48"/>
      <c r="D27" s="48"/>
      <c r="E27" s="48"/>
      <c r="F27" s="48"/>
      <c r="G27" s="49" t="n">
        <f aca="false">(G20+G21+G22+G23+G24+G26)*원가계산서!$D$28</f>
        <v>3135818.085</v>
      </c>
      <c r="H27" s="20" t="s">
        <v>302</v>
      </c>
      <c r="I27" s="20"/>
    </row>
    <row r="28" customFormat="false" ht="19.5" hidden="false" customHeight="true" outlineLevel="0" collapsed="false">
      <c r="A28" s="48" t="s">
        <v>165</v>
      </c>
      <c r="B28" s="48"/>
      <c r="C28" s="48"/>
      <c r="D28" s="48"/>
      <c r="E28" s="48"/>
      <c r="F28" s="48"/>
      <c r="G28" s="49" t="n">
        <f aca="false">-MOD(G25+G26+G27,1000)</f>
        <v>-271.984999999404</v>
      </c>
      <c r="H28" s="20" t="s">
        <v>303</v>
      </c>
      <c r="I28" s="20"/>
    </row>
    <row r="29" customFormat="false" ht="19.5" hidden="false" customHeight="true" outlineLevel="0" collapsed="false">
      <c r="A29" s="50" t="s">
        <v>225</v>
      </c>
      <c r="B29" s="50"/>
      <c r="C29" s="50"/>
      <c r="D29" s="50"/>
      <c r="E29" s="50"/>
      <c r="F29" s="50"/>
      <c r="G29" s="51" t="n">
        <f aca="false">G25+G26+G27+G28</f>
        <v>27721000</v>
      </c>
      <c r="H29" s="41" t="s">
        <v>226</v>
      </c>
      <c r="I29" s="41"/>
    </row>
    <row r="31" customFormat="false" ht="11.9" hidden="false" customHeight="false" outlineLevel="0" collapsed="false">
      <c r="A31" s="52" t="s">
        <v>304</v>
      </c>
      <c r="B31" s="52"/>
      <c r="C31" s="52"/>
      <c r="D31" s="52"/>
      <c r="E31" s="52"/>
      <c r="F31" s="52"/>
      <c r="G31" s="52"/>
      <c r="H31" s="52"/>
      <c r="I31" s="52"/>
    </row>
    <row r="32" customFormat="false" ht="11.9" hidden="false" customHeight="false" outlineLevel="0" collapsed="false">
      <c r="A32" s="52" t="s">
        <v>305</v>
      </c>
      <c r="B32" s="52"/>
      <c r="C32" s="52"/>
      <c r="D32" s="52"/>
      <c r="E32" s="52"/>
      <c r="F32" s="52"/>
      <c r="G32" s="52"/>
      <c r="H32" s="52"/>
      <c r="I32" s="52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307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308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288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288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288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288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289</v>
      </c>
      <c r="B17" s="11" t="s">
        <v>125</v>
      </c>
      <c r="C17" s="13" t="s">
        <v>126</v>
      </c>
      <c r="D17" s="11" t="s">
        <v>309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309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290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8" t="s">
        <v>295</v>
      </c>
      <c r="B21" s="48"/>
      <c r="C21" s="48"/>
      <c r="D21" s="48"/>
      <c r="E21" s="48"/>
      <c r="F21" s="48"/>
      <c r="G21" s="49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8" t="s">
        <v>296</v>
      </c>
      <c r="B22" s="48"/>
      <c r="C22" s="48"/>
      <c r="D22" s="48"/>
      <c r="E22" s="48"/>
      <c r="F22" s="48"/>
      <c r="G22" s="49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8" t="s">
        <v>297</v>
      </c>
      <c r="B23" s="48"/>
      <c r="C23" s="48"/>
      <c r="D23" s="48"/>
      <c r="E23" s="48"/>
      <c r="F23" s="48"/>
      <c r="G23" s="49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8" t="s">
        <v>159</v>
      </c>
      <c r="B24" s="48"/>
      <c r="C24" s="48"/>
      <c r="D24" s="48"/>
      <c r="E24" s="48"/>
      <c r="F24" s="48"/>
      <c r="G24" s="49" t="n">
        <f aca="false">G22*원가계산서!$D$24</f>
        <v>176220</v>
      </c>
      <c r="H24" s="20" t="s">
        <v>298</v>
      </c>
      <c r="I24" s="20"/>
    </row>
    <row r="25" customFormat="false" ht="19.5" hidden="false" customHeight="true" outlineLevel="0" collapsed="false">
      <c r="A25" s="48" t="s">
        <v>160</v>
      </c>
      <c r="B25" s="48"/>
      <c r="C25" s="48"/>
      <c r="D25" s="48"/>
      <c r="E25" s="48"/>
      <c r="F25" s="48"/>
      <c r="G25" s="49" t="n">
        <f aca="false">G22*원가계산서!$D$25</f>
        <v>56925</v>
      </c>
      <c r="H25" s="20" t="s">
        <v>299</v>
      </c>
      <c r="I25" s="20"/>
    </row>
    <row r="26" customFormat="false" ht="19.5" hidden="false" customHeight="true" outlineLevel="0" collapsed="false">
      <c r="A26" s="48" t="s">
        <v>161</v>
      </c>
      <c r="B26" s="48"/>
      <c r="C26" s="48"/>
      <c r="D26" s="48"/>
      <c r="E26" s="48"/>
      <c r="F26" s="48"/>
      <c r="G26" s="49" t="n">
        <f aca="false">(G21+G22)*원가계산서!$D$26</f>
        <v>425563.07</v>
      </c>
      <c r="H26" s="20" t="s">
        <v>300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8" t="s">
        <v>163</v>
      </c>
      <c r="B28" s="48"/>
      <c r="C28" s="48"/>
      <c r="D28" s="48"/>
      <c r="E28" s="48"/>
      <c r="F28" s="48"/>
      <c r="G28" s="49" t="n">
        <f aca="false">G27*원가계산서!$D$27</f>
        <v>859620.4035</v>
      </c>
      <c r="H28" s="20" t="s">
        <v>301</v>
      </c>
      <c r="I28" s="20"/>
    </row>
    <row r="29" customFormat="false" ht="19.5" hidden="false" customHeight="true" outlineLevel="0" collapsed="false">
      <c r="A29" s="48" t="s">
        <v>164</v>
      </c>
      <c r="B29" s="48"/>
      <c r="C29" s="48"/>
      <c r="D29" s="48"/>
      <c r="E29" s="48"/>
      <c r="F29" s="48"/>
      <c r="G29" s="49" t="n">
        <f aca="false">(G22+G23+G24+G25+G26+G28)*원가계산서!$D$28</f>
        <v>1397749.271025</v>
      </c>
      <c r="H29" s="20" t="s">
        <v>302</v>
      </c>
      <c r="I29" s="20"/>
    </row>
    <row r="30" customFormat="false" ht="19.5" hidden="false" customHeight="true" outlineLevel="0" collapsed="false">
      <c r="A30" s="48" t="s">
        <v>165</v>
      </c>
      <c r="B30" s="48"/>
      <c r="C30" s="48"/>
      <c r="D30" s="48"/>
      <c r="E30" s="48"/>
      <c r="F30" s="48"/>
      <c r="G30" s="49" t="n">
        <f aca="false">-MOD(G27+G28+G29,1000)</f>
        <v>-777.744524996728</v>
      </c>
      <c r="H30" s="20" t="s">
        <v>303</v>
      </c>
      <c r="I30" s="20"/>
    </row>
    <row r="31" customFormat="false" ht="19.5" hidden="false" customHeight="true" outlineLevel="0" collapsed="false">
      <c r="A31" s="50" t="s">
        <v>225</v>
      </c>
      <c r="B31" s="50"/>
      <c r="C31" s="50"/>
      <c r="D31" s="50"/>
      <c r="E31" s="50"/>
      <c r="F31" s="50"/>
      <c r="G31" s="51" t="n">
        <f aca="false">G27+G28+G29+G30</f>
        <v>19449000</v>
      </c>
      <c r="H31" s="41" t="s">
        <v>226</v>
      </c>
      <c r="I31" s="41"/>
    </row>
    <row r="33" customFormat="false" ht="11.9" hidden="false" customHeight="false" outlineLevel="0" collapsed="false">
      <c r="A33" s="52" t="s">
        <v>304</v>
      </c>
      <c r="B33" s="52"/>
      <c r="C33" s="52"/>
      <c r="D33" s="52"/>
      <c r="E33" s="52"/>
      <c r="F33" s="52"/>
      <c r="G33" s="52"/>
      <c r="H33" s="52"/>
      <c r="I33" s="52"/>
    </row>
    <row r="34" customFormat="false" ht="11.9" hidden="false" customHeight="false" outlineLevel="0" collapsed="false">
      <c r="A34" s="52" t="s">
        <v>305</v>
      </c>
      <c r="B34" s="52"/>
      <c r="C34" s="52"/>
      <c r="D34" s="52"/>
      <c r="E34" s="52"/>
      <c r="F34" s="52"/>
      <c r="G34" s="52"/>
      <c r="H34" s="52"/>
      <c r="I34" s="52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310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248</v>
      </c>
      <c r="D8" s="11" t="s">
        <v>288</v>
      </c>
      <c r="E8" s="14" t="n">
        <v>21</v>
      </c>
      <c r="F8" s="14" t="n">
        <v>300000</v>
      </c>
      <c r="G8" s="14" t="n">
        <f aca="false">E8*F8</f>
        <v>6300000</v>
      </c>
      <c r="H8" s="13" t="s">
        <v>311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288</v>
      </c>
      <c r="E9" s="14" t="n">
        <v>4</v>
      </c>
      <c r="F9" s="14" t="n">
        <v>260000</v>
      </c>
      <c r="G9" s="14" t="n">
        <f aca="false">E9*F9</f>
        <v>1040000</v>
      </c>
      <c r="H9" s="13" t="s">
        <v>312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251</v>
      </c>
      <c r="D10" s="11" t="s">
        <v>288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289</v>
      </c>
      <c r="B11" s="11" t="s">
        <v>47</v>
      </c>
      <c r="C11" s="13" t="s">
        <v>252</v>
      </c>
      <c r="D11" s="11" t="s">
        <v>290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313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253</v>
      </c>
      <c r="D12" s="11" t="s">
        <v>290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313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254</v>
      </c>
      <c r="D13" s="11" t="s">
        <v>290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314</v>
      </c>
      <c r="I13" s="11" t="s">
        <v>71</v>
      </c>
    </row>
    <row r="14" customFormat="false" ht="19.5" hidden="false" customHeight="true" outlineLevel="0" collapsed="false">
      <c r="A14" s="11"/>
      <c r="B14" s="11" t="s">
        <v>256</v>
      </c>
      <c r="C14" s="13" t="s">
        <v>257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315</v>
      </c>
      <c r="I14" s="11" t="s">
        <v>71</v>
      </c>
    </row>
    <row r="15" customFormat="false" ht="19.5" hidden="false" customHeight="true" outlineLevel="0" collapsed="false">
      <c r="A15" s="11"/>
      <c r="B15" s="11" t="s">
        <v>258</v>
      </c>
      <c r="C15" s="13" t="s">
        <v>259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316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294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317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291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261</v>
      </c>
      <c r="C18" s="13" t="s">
        <v>262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318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263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292</v>
      </c>
      <c r="B20" s="11" t="s">
        <v>61</v>
      </c>
      <c r="C20" s="13" t="s">
        <v>62</v>
      </c>
      <c r="D20" s="11" t="s">
        <v>293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319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288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294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8" t="s">
        <v>295</v>
      </c>
      <c r="B25" s="48"/>
      <c r="C25" s="48"/>
      <c r="D25" s="48"/>
      <c r="E25" s="48"/>
      <c r="F25" s="48"/>
      <c r="G25" s="49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8" t="s">
        <v>296</v>
      </c>
      <c r="B26" s="48"/>
      <c r="C26" s="48"/>
      <c r="D26" s="48"/>
      <c r="E26" s="48"/>
      <c r="F26" s="48"/>
      <c r="G26" s="49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8" t="s">
        <v>297</v>
      </c>
      <c r="B27" s="48"/>
      <c r="C27" s="48"/>
      <c r="D27" s="48"/>
      <c r="E27" s="48"/>
      <c r="F27" s="48"/>
      <c r="G27" s="49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8" t="s">
        <v>159</v>
      </c>
      <c r="B28" s="48"/>
      <c r="C28" s="48"/>
      <c r="D28" s="48"/>
      <c r="E28" s="48"/>
      <c r="F28" s="48"/>
      <c r="G28" s="49" t="n">
        <f aca="false">G26*원가계산서!$D$24</f>
        <v>313280</v>
      </c>
      <c r="H28" s="20" t="s">
        <v>298</v>
      </c>
      <c r="I28" s="20"/>
    </row>
    <row r="29" customFormat="false" ht="19.5" hidden="false" customHeight="true" outlineLevel="0" collapsed="false">
      <c r="A29" s="48" t="s">
        <v>160</v>
      </c>
      <c r="B29" s="48"/>
      <c r="C29" s="48"/>
      <c r="D29" s="48"/>
      <c r="E29" s="48"/>
      <c r="F29" s="48"/>
      <c r="G29" s="49" t="n">
        <f aca="false">G26*원가계산서!$D$25</f>
        <v>101200</v>
      </c>
      <c r="H29" s="20" t="s">
        <v>299</v>
      </c>
      <c r="I29" s="20"/>
    </row>
    <row r="30" customFormat="false" ht="19.5" hidden="false" customHeight="true" outlineLevel="0" collapsed="false">
      <c r="A30" s="48" t="s">
        <v>161</v>
      </c>
      <c r="B30" s="48"/>
      <c r="C30" s="48"/>
      <c r="D30" s="48"/>
      <c r="E30" s="48"/>
      <c r="F30" s="48"/>
      <c r="G30" s="49" t="n">
        <f aca="false">(G25+G26)*원가계산서!$D$26</f>
        <v>344588</v>
      </c>
      <c r="H30" s="20" t="s">
        <v>300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8" t="s">
        <v>163</v>
      </c>
      <c r="B32" s="48"/>
      <c r="C32" s="48"/>
      <c r="D32" s="48"/>
      <c r="E32" s="48"/>
      <c r="F32" s="48"/>
      <c r="G32" s="49" t="n">
        <f aca="false">G31*원가계산서!$D$27</f>
        <v>1402453.4</v>
      </c>
      <c r="H32" s="20" t="s">
        <v>301</v>
      </c>
      <c r="I32" s="20"/>
    </row>
    <row r="33" customFormat="false" ht="19.5" hidden="false" customHeight="true" outlineLevel="0" collapsed="false">
      <c r="A33" s="48" t="s">
        <v>164</v>
      </c>
      <c r="B33" s="48"/>
      <c r="C33" s="48"/>
      <c r="D33" s="48"/>
      <c r="E33" s="48"/>
      <c r="F33" s="48"/>
      <c r="G33" s="49" t="n">
        <f aca="false">(G26+G27+G28+G29+G30+G32)*원가계산서!$D$28</f>
        <v>4075728.21</v>
      </c>
      <c r="H33" s="20" t="s">
        <v>302</v>
      </c>
      <c r="I33" s="20"/>
    </row>
    <row r="34" customFormat="false" ht="19.5" hidden="false" customHeight="true" outlineLevel="0" collapsed="false">
      <c r="A34" s="48" t="s">
        <v>165</v>
      </c>
      <c r="B34" s="48"/>
      <c r="C34" s="48"/>
      <c r="D34" s="48"/>
      <c r="E34" s="48"/>
      <c r="F34" s="48"/>
      <c r="G34" s="49" t="n">
        <f aca="false">-MOD(G31+G32+G33,1000)</f>
        <v>-249.609999999404</v>
      </c>
      <c r="H34" s="20" t="s">
        <v>303</v>
      </c>
      <c r="I34" s="20"/>
    </row>
    <row r="35" customFormat="false" ht="19.5" hidden="false" customHeight="true" outlineLevel="0" collapsed="false">
      <c r="A35" s="50" t="s">
        <v>225</v>
      </c>
      <c r="B35" s="50"/>
      <c r="C35" s="50"/>
      <c r="D35" s="50"/>
      <c r="E35" s="50"/>
      <c r="F35" s="50"/>
      <c r="G35" s="51" t="n">
        <f aca="false">G31+G32+G33+G34</f>
        <v>33527000</v>
      </c>
      <c r="H35" s="41" t="s">
        <v>226</v>
      </c>
      <c r="I35" s="41"/>
    </row>
    <row r="37" customFormat="false" ht="11.9" hidden="false" customHeight="false" outlineLevel="0" collapsed="false">
      <c r="A37" s="52" t="s">
        <v>304</v>
      </c>
      <c r="B37" s="52"/>
      <c r="C37" s="52"/>
      <c r="D37" s="52"/>
      <c r="E37" s="52"/>
      <c r="F37" s="52"/>
      <c r="G37" s="52"/>
      <c r="H37" s="52"/>
      <c r="I37" s="52"/>
    </row>
    <row r="38" customFormat="false" ht="11.9" hidden="false" customHeight="false" outlineLevel="0" collapsed="false">
      <c r="A38" s="52" t="s">
        <v>305</v>
      </c>
      <c r="B38" s="52"/>
      <c r="C38" s="52"/>
      <c r="D38" s="52"/>
      <c r="E38" s="52"/>
      <c r="F38" s="52"/>
      <c r="G38" s="52"/>
      <c r="H38" s="52"/>
      <c r="I38" s="52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320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288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288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288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288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288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289</v>
      </c>
      <c r="B13" s="11" t="s">
        <v>94</v>
      </c>
      <c r="C13" s="13" t="s">
        <v>95</v>
      </c>
      <c r="D13" s="11" t="s">
        <v>290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291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289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290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8" t="s">
        <v>295</v>
      </c>
      <c r="B19" s="48"/>
      <c r="C19" s="48"/>
      <c r="D19" s="48"/>
      <c r="E19" s="48"/>
      <c r="F19" s="48"/>
      <c r="G19" s="49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8" t="s">
        <v>296</v>
      </c>
      <c r="B20" s="48"/>
      <c r="C20" s="48"/>
      <c r="D20" s="48"/>
      <c r="E20" s="48"/>
      <c r="F20" s="48"/>
      <c r="G20" s="49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8" t="s">
        <v>297</v>
      </c>
      <c r="B21" s="48"/>
      <c r="C21" s="48"/>
      <c r="D21" s="48"/>
      <c r="E21" s="48"/>
      <c r="F21" s="48"/>
      <c r="G21" s="49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8" t="s">
        <v>159</v>
      </c>
      <c r="B22" s="48"/>
      <c r="C22" s="48"/>
      <c r="D22" s="48"/>
      <c r="E22" s="48"/>
      <c r="F22" s="48"/>
      <c r="G22" s="49" t="n">
        <f aca="false">G20*원가계산서!$D$24</f>
        <v>350660</v>
      </c>
      <c r="H22" s="20" t="s">
        <v>298</v>
      </c>
      <c r="I22" s="20"/>
    </row>
    <row r="23" customFormat="false" ht="19.5" hidden="false" customHeight="true" outlineLevel="0" collapsed="false">
      <c r="A23" s="48" t="s">
        <v>160</v>
      </c>
      <c r="B23" s="48"/>
      <c r="C23" s="48"/>
      <c r="D23" s="48"/>
      <c r="E23" s="48"/>
      <c r="F23" s="48"/>
      <c r="G23" s="49" t="n">
        <f aca="false">G20*원가계산서!$D$25</f>
        <v>113275</v>
      </c>
      <c r="H23" s="20" t="s">
        <v>299</v>
      </c>
      <c r="I23" s="20"/>
    </row>
    <row r="24" customFormat="false" ht="19.5" hidden="false" customHeight="true" outlineLevel="0" collapsed="false">
      <c r="A24" s="48" t="s">
        <v>161</v>
      </c>
      <c r="B24" s="48"/>
      <c r="C24" s="48"/>
      <c r="D24" s="48"/>
      <c r="E24" s="48"/>
      <c r="F24" s="48"/>
      <c r="G24" s="49" t="n">
        <f aca="false">(G19+G20)*원가계산서!$D$26</f>
        <v>420783</v>
      </c>
      <c r="H24" s="20" t="s">
        <v>300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8" t="s">
        <v>163</v>
      </c>
      <c r="B26" s="48"/>
      <c r="C26" s="48"/>
      <c r="D26" s="48"/>
      <c r="E26" s="48"/>
      <c r="F26" s="48"/>
      <c r="G26" s="49" t="n">
        <f aca="false">G25*원가계산서!$D$27</f>
        <v>1170735.9</v>
      </c>
      <c r="H26" s="20" t="s">
        <v>301</v>
      </c>
      <c r="I26" s="20"/>
    </row>
    <row r="27" customFormat="false" ht="19.5" hidden="false" customHeight="true" outlineLevel="0" collapsed="false">
      <c r="A27" s="48" t="s">
        <v>164</v>
      </c>
      <c r="B27" s="48"/>
      <c r="C27" s="48"/>
      <c r="D27" s="48"/>
      <c r="E27" s="48"/>
      <c r="F27" s="48"/>
      <c r="G27" s="49" t="n">
        <f aca="false">(G20+G21+G22+G23+G24+G26)*원가계산서!$D$28</f>
        <v>3135818.085</v>
      </c>
      <c r="H27" s="20" t="s">
        <v>302</v>
      </c>
      <c r="I27" s="20"/>
    </row>
    <row r="28" customFormat="false" ht="19.5" hidden="false" customHeight="true" outlineLevel="0" collapsed="false">
      <c r="A28" s="48" t="s">
        <v>165</v>
      </c>
      <c r="B28" s="48"/>
      <c r="C28" s="48"/>
      <c r="D28" s="48"/>
      <c r="E28" s="48"/>
      <c r="F28" s="48"/>
      <c r="G28" s="49" t="n">
        <f aca="false">-MOD(G25+G26+G27,1000)</f>
        <v>-271.984999999404</v>
      </c>
      <c r="H28" s="20" t="s">
        <v>303</v>
      </c>
      <c r="I28" s="20"/>
    </row>
    <row r="29" customFormat="false" ht="19.5" hidden="false" customHeight="true" outlineLevel="0" collapsed="false">
      <c r="A29" s="50" t="s">
        <v>225</v>
      </c>
      <c r="B29" s="50"/>
      <c r="C29" s="50"/>
      <c r="D29" s="50"/>
      <c r="E29" s="50"/>
      <c r="F29" s="50"/>
      <c r="G29" s="51" t="n">
        <f aca="false">G25+G26+G27+G28</f>
        <v>27721000</v>
      </c>
      <c r="H29" s="41" t="s">
        <v>226</v>
      </c>
      <c r="I29" s="41"/>
    </row>
    <row r="31" customFormat="false" ht="11.9" hidden="false" customHeight="false" outlineLevel="0" collapsed="false">
      <c r="A31" s="52" t="s">
        <v>304</v>
      </c>
      <c r="B31" s="52"/>
      <c r="C31" s="52"/>
      <c r="D31" s="52"/>
      <c r="E31" s="52"/>
      <c r="F31" s="52"/>
      <c r="G31" s="52"/>
      <c r="H31" s="52"/>
      <c r="I31" s="52"/>
    </row>
    <row r="32" customFormat="false" ht="11.9" hidden="false" customHeight="false" outlineLevel="0" collapsed="false">
      <c r="A32" s="52" t="s">
        <v>305</v>
      </c>
      <c r="B32" s="52"/>
      <c r="C32" s="52"/>
      <c r="D32" s="52"/>
      <c r="E32" s="52"/>
      <c r="F32" s="52"/>
      <c r="G32" s="52"/>
      <c r="H32" s="52"/>
      <c r="I32" s="52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285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286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7" t="s">
        <v>321</v>
      </c>
      <c r="B5" s="47"/>
      <c r="C5" s="47"/>
      <c r="D5" s="47"/>
      <c r="E5" s="47"/>
      <c r="F5" s="47"/>
      <c r="G5" s="47"/>
      <c r="H5" s="47"/>
      <c r="I5" s="47"/>
    </row>
    <row r="7" customFormat="false" ht="15" hidden="false" customHeight="false" outlineLevel="0" collapsed="false">
      <c r="A7" s="10" t="s">
        <v>184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268</v>
      </c>
      <c r="C8" s="13" t="s">
        <v>269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322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272</v>
      </c>
      <c r="C10" s="13" t="s">
        <v>273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323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274</v>
      </c>
      <c r="D11" s="11" t="s">
        <v>288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324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276</v>
      </c>
      <c r="D12" s="11" t="s">
        <v>288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324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278</v>
      </c>
      <c r="D13" s="11" t="s">
        <v>288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324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280</v>
      </c>
      <c r="D14" s="11" t="s">
        <v>288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325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282</v>
      </c>
      <c r="D15" s="11" t="s">
        <v>288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326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327</v>
      </c>
      <c r="I16" s="11" t="s">
        <v>71</v>
      </c>
    </row>
    <row r="17" customFormat="false" ht="19.5" hidden="false" customHeight="true" outlineLevel="0" collapsed="false">
      <c r="A17" s="48" t="s">
        <v>295</v>
      </c>
      <c r="B17" s="48"/>
      <c r="C17" s="48"/>
      <c r="D17" s="48"/>
      <c r="E17" s="48"/>
      <c r="F17" s="48"/>
      <c r="G17" s="49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8" t="s">
        <v>296</v>
      </c>
      <c r="B18" s="48"/>
      <c r="C18" s="48"/>
      <c r="D18" s="48"/>
      <c r="E18" s="48"/>
      <c r="F18" s="48"/>
      <c r="G18" s="49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8" t="s">
        <v>297</v>
      </c>
      <c r="B19" s="48"/>
      <c r="C19" s="48"/>
      <c r="D19" s="48"/>
      <c r="E19" s="48"/>
      <c r="F19" s="48"/>
      <c r="G19" s="49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8" t="s">
        <v>159</v>
      </c>
      <c r="B20" s="48"/>
      <c r="C20" s="48"/>
      <c r="D20" s="48"/>
      <c r="E20" s="48"/>
      <c r="F20" s="48"/>
      <c r="G20" s="49" t="n">
        <f aca="false">G18*원가계산서!$D$24</f>
        <v>133500</v>
      </c>
      <c r="H20" s="20" t="s">
        <v>298</v>
      </c>
      <c r="I20" s="20"/>
    </row>
    <row r="21" customFormat="false" ht="19.5" hidden="false" customHeight="true" outlineLevel="0" collapsed="false">
      <c r="A21" s="48" t="s">
        <v>160</v>
      </c>
      <c r="B21" s="48"/>
      <c r="C21" s="48"/>
      <c r="D21" s="48"/>
      <c r="E21" s="48"/>
      <c r="F21" s="48"/>
      <c r="G21" s="49" t="n">
        <f aca="false">G18*원가계산서!$D$25</f>
        <v>43125</v>
      </c>
      <c r="H21" s="20" t="s">
        <v>299</v>
      </c>
      <c r="I21" s="20"/>
    </row>
    <row r="22" customFormat="false" ht="19.5" hidden="false" customHeight="true" outlineLevel="0" collapsed="false">
      <c r="A22" s="48" t="s">
        <v>161</v>
      </c>
      <c r="B22" s="48"/>
      <c r="C22" s="48"/>
      <c r="D22" s="48"/>
      <c r="E22" s="48"/>
      <c r="F22" s="48"/>
      <c r="G22" s="49" t="n">
        <f aca="false">(G17+G18)*원가계산서!$D$26</f>
        <v>141505</v>
      </c>
      <c r="H22" s="20" t="s">
        <v>300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8" t="s">
        <v>163</v>
      </c>
      <c r="B24" s="48"/>
      <c r="C24" s="48"/>
      <c r="D24" s="48"/>
      <c r="E24" s="48"/>
      <c r="F24" s="48"/>
      <c r="G24" s="49" t="n">
        <f aca="false">G23*원가계산서!$D$27</f>
        <v>270906.5</v>
      </c>
      <c r="H24" s="20" t="s">
        <v>301</v>
      </c>
      <c r="I24" s="20"/>
    </row>
    <row r="25" customFormat="false" ht="19.5" hidden="false" customHeight="true" outlineLevel="0" collapsed="false">
      <c r="A25" s="48" t="s">
        <v>164</v>
      </c>
      <c r="B25" s="48"/>
      <c r="C25" s="48"/>
      <c r="D25" s="48"/>
      <c r="E25" s="48"/>
      <c r="F25" s="48"/>
      <c r="G25" s="49" t="n">
        <f aca="false">(G18+G19+G20+G21+G22+G24)*원가계산서!$D$28</f>
        <v>733355.475</v>
      </c>
      <c r="H25" s="20" t="s">
        <v>302</v>
      </c>
      <c r="I25" s="20"/>
    </row>
    <row r="26" customFormat="false" ht="19.5" hidden="false" customHeight="true" outlineLevel="0" collapsed="false">
      <c r="A26" s="48" t="s">
        <v>165</v>
      </c>
      <c r="B26" s="48"/>
      <c r="C26" s="48"/>
      <c r="D26" s="48"/>
      <c r="E26" s="48"/>
      <c r="F26" s="48"/>
      <c r="G26" s="49" t="n">
        <f aca="false">-MOD(G23+G24+G25,1000)</f>
        <v>-391.974999999627</v>
      </c>
      <c r="H26" s="20" t="s">
        <v>303</v>
      </c>
      <c r="I26" s="20"/>
    </row>
    <row r="27" customFormat="false" ht="19.5" hidden="false" customHeight="true" outlineLevel="0" collapsed="false">
      <c r="A27" s="50" t="s">
        <v>225</v>
      </c>
      <c r="B27" s="50"/>
      <c r="C27" s="50"/>
      <c r="D27" s="50"/>
      <c r="E27" s="50"/>
      <c r="F27" s="50"/>
      <c r="G27" s="51" t="n">
        <f aca="false">G23+G24+G25+G26</f>
        <v>6422000</v>
      </c>
      <c r="H27" s="41" t="s">
        <v>226</v>
      </c>
      <c r="I27" s="41"/>
    </row>
    <row r="29" customFormat="false" ht="11.9" hidden="false" customHeight="false" outlineLevel="0" collapsed="false">
      <c r="A29" s="52" t="s">
        <v>304</v>
      </c>
      <c r="B29" s="52"/>
      <c r="C29" s="52"/>
      <c r="D29" s="52"/>
      <c r="E29" s="52"/>
      <c r="F29" s="52"/>
      <c r="G29" s="52"/>
      <c r="H29" s="52"/>
      <c r="I29" s="52"/>
    </row>
    <row r="30" customFormat="false" ht="11.9" hidden="false" customHeight="false" outlineLevel="0" collapsed="false">
      <c r="A30" s="52" t="s">
        <v>305</v>
      </c>
      <c r="B30" s="52"/>
      <c r="C30" s="52"/>
      <c r="D30" s="52"/>
      <c r="E30" s="52"/>
      <c r="F30" s="52"/>
      <c r="G30" s="52"/>
      <c r="H30" s="52"/>
      <c r="I30" s="52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18.65" hidden="false" customHeight="false" outlineLevel="0" collapsed="false">
      <c r="A1" s="42" t="s">
        <v>328</v>
      </c>
    </row>
    <row r="3" customFormat="false" ht="15" hidden="false" customHeight="false" outlineLevel="0" collapsed="false">
      <c r="A3" s="10" t="s">
        <v>329</v>
      </c>
      <c r="B3" s="10" t="s">
        <v>330</v>
      </c>
      <c r="C3" s="10" t="s">
        <v>331</v>
      </c>
      <c r="D3" s="10" t="s">
        <v>332</v>
      </c>
      <c r="E3" s="10" t="s">
        <v>333</v>
      </c>
    </row>
    <row r="4" customFormat="false" ht="15" hidden="false" customHeight="false" outlineLevel="0" collapsed="false">
      <c r="A4" s="53" t="n">
        <v>10</v>
      </c>
      <c r="B4" s="53" t="n">
        <v>4</v>
      </c>
      <c r="C4" s="54" t="n">
        <f aca="false">A4*B4</f>
        <v>40</v>
      </c>
      <c r="D4" s="53" t="n">
        <v>72.4</v>
      </c>
      <c r="E4" s="55" t="n">
        <f aca="false">C4*D4</f>
        <v>2896</v>
      </c>
    </row>
    <row r="5" customFormat="false" ht="15" hidden="false" customHeight="false" outlineLevel="0" collapsed="false">
      <c r="A5" s="53" t="n">
        <v>5</v>
      </c>
      <c r="B5" s="53" t="n">
        <v>16</v>
      </c>
      <c r="C5" s="54" t="n">
        <f aca="false">A5*B5</f>
        <v>80</v>
      </c>
      <c r="D5" s="53" t="n">
        <v>72.4</v>
      </c>
      <c r="E5" s="55" t="n">
        <f aca="false">C5*D5</f>
        <v>5792</v>
      </c>
    </row>
    <row r="6" customFormat="false" ht="15" hidden="false" customHeight="false" outlineLevel="0" collapsed="false">
      <c r="A6" s="53" t="n">
        <v>0.6</v>
      </c>
      <c r="B6" s="53" t="n">
        <v>30</v>
      </c>
      <c r="C6" s="54" t="n">
        <f aca="false">A6*B6</f>
        <v>18</v>
      </c>
      <c r="D6" s="53" t="n">
        <v>72.4</v>
      </c>
      <c r="E6" s="55" t="n">
        <f aca="false">C6*D6</f>
        <v>1303.2</v>
      </c>
    </row>
    <row r="7" customFormat="false" ht="15" hidden="false" customHeight="false" outlineLevel="0" collapsed="false">
      <c r="A7" s="56"/>
      <c r="B7" s="57" t="s">
        <v>155</v>
      </c>
      <c r="C7" s="56" t="n">
        <f aca="false">SUM(C4:C6)</f>
        <v>138</v>
      </c>
      <c r="D7" s="56"/>
      <c r="E7" s="58" t="n">
        <f aca="false">SUM(E4:E6)</f>
        <v>9991.2</v>
      </c>
    </row>
    <row r="9" customFormat="false" ht="15" hidden="false" customHeight="false" outlineLevel="0" collapsed="false">
      <c r="A9" s="15" t="s">
        <v>184</v>
      </c>
      <c r="B9" s="15" t="s">
        <v>333</v>
      </c>
      <c r="C9" s="15" t="s">
        <v>334</v>
      </c>
      <c r="D9" s="15" t="s">
        <v>200</v>
      </c>
      <c r="E9" s="15" t="s">
        <v>36</v>
      </c>
    </row>
    <row r="10" customFormat="false" ht="15" hidden="false" customHeight="false" outlineLevel="0" collapsed="false">
      <c r="A10" s="13" t="s">
        <v>335</v>
      </c>
      <c r="B10" s="59" t="n">
        <f aca="false">E7</f>
        <v>9991.2</v>
      </c>
      <c r="C10" s="14" t="n">
        <v>700</v>
      </c>
      <c r="D10" s="14" t="n">
        <f aca="false">B10*C10</f>
        <v>6993840</v>
      </c>
      <c r="E10" s="13" t="s">
        <v>336</v>
      </c>
    </row>
    <row r="12" customFormat="false" ht="15" hidden="false" customHeight="false" outlineLevel="0" collapsed="false">
      <c r="A12" s="43" t="s">
        <v>337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42" t="s">
        <v>338</v>
      </c>
    </row>
    <row r="3" customFormat="false" ht="30" hidden="false" customHeight="true" outlineLevel="0" collapsed="false">
      <c r="A3" s="18" t="s">
        <v>339</v>
      </c>
      <c r="B3" s="18" t="s">
        <v>340</v>
      </c>
      <c r="C3" s="60" t="s">
        <v>341</v>
      </c>
      <c r="D3" s="60" t="s">
        <v>342</v>
      </c>
      <c r="E3" s="60" t="s">
        <v>343</v>
      </c>
      <c r="F3" s="60" t="s">
        <v>344</v>
      </c>
      <c r="G3" s="60" t="s">
        <v>345</v>
      </c>
      <c r="H3" s="60" t="s">
        <v>346</v>
      </c>
      <c r="I3" s="60" t="s">
        <v>347</v>
      </c>
      <c r="J3" s="60" t="s">
        <v>348</v>
      </c>
      <c r="K3" s="60" t="s">
        <v>349</v>
      </c>
      <c r="L3" s="60" t="s">
        <v>350</v>
      </c>
      <c r="M3" s="60" t="s">
        <v>351</v>
      </c>
    </row>
    <row r="4" customFormat="false" ht="15" hidden="false" customHeight="false" outlineLevel="0" collapsed="false">
      <c r="A4" s="53" t="s">
        <v>352</v>
      </c>
      <c r="B4" s="53" t="s">
        <v>353</v>
      </c>
      <c r="C4" s="61"/>
      <c r="D4" s="54"/>
      <c r="E4" s="54"/>
      <c r="F4" s="54"/>
      <c r="G4" s="54"/>
      <c r="H4" s="54"/>
      <c r="I4" s="54"/>
      <c r="J4" s="54"/>
      <c r="K4" s="54"/>
      <c r="L4" s="54"/>
      <c r="M4" s="54"/>
    </row>
    <row r="5" customFormat="false" ht="15" hidden="false" customHeight="false" outlineLevel="0" collapsed="false">
      <c r="A5" s="53" t="s">
        <v>354</v>
      </c>
      <c r="B5" s="53" t="s">
        <v>355</v>
      </c>
      <c r="C5" s="61"/>
      <c r="D5" s="61"/>
      <c r="E5" s="61"/>
      <c r="F5" s="54"/>
      <c r="G5" s="54"/>
      <c r="H5" s="54"/>
      <c r="I5" s="54"/>
      <c r="J5" s="54"/>
      <c r="K5" s="54"/>
      <c r="L5" s="54"/>
      <c r="M5" s="54"/>
    </row>
    <row r="6" customFormat="false" ht="15" hidden="false" customHeight="false" outlineLevel="0" collapsed="false">
      <c r="A6" s="53" t="s">
        <v>356</v>
      </c>
      <c r="B6" s="53" t="s">
        <v>357</v>
      </c>
      <c r="C6" s="54"/>
      <c r="D6" s="54"/>
      <c r="E6" s="54"/>
      <c r="F6" s="61"/>
      <c r="G6" s="54"/>
      <c r="H6" s="54"/>
      <c r="I6" s="54"/>
      <c r="J6" s="54"/>
      <c r="K6" s="54"/>
      <c r="L6" s="54"/>
      <c r="M6" s="54"/>
    </row>
    <row r="7" customFormat="false" ht="15" hidden="false" customHeight="false" outlineLevel="0" collapsed="false">
      <c r="A7" s="53" t="s">
        <v>358</v>
      </c>
      <c r="B7" s="53" t="s">
        <v>359</v>
      </c>
      <c r="C7" s="54"/>
      <c r="D7" s="54"/>
      <c r="E7" s="54"/>
      <c r="F7" s="54"/>
      <c r="G7" s="61"/>
      <c r="H7" s="61"/>
      <c r="I7" s="54"/>
      <c r="J7" s="54"/>
      <c r="K7" s="54"/>
      <c r="L7" s="54"/>
      <c r="M7" s="54"/>
    </row>
    <row r="8" customFormat="false" ht="15" hidden="false" customHeight="false" outlineLevel="0" collapsed="false">
      <c r="A8" s="53" t="s">
        <v>360</v>
      </c>
      <c r="B8" s="53" t="s">
        <v>361</v>
      </c>
      <c r="C8" s="54"/>
      <c r="D8" s="54"/>
      <c r="E8" s="54"/>
      <c r="F8" s="54"/>
      <c r="G8" s="54"/>
      <c r="H8" s="54"/>
      <c r="I8" s="61"/>
      <c r="J8" s="61"/>
      <c r="K8" s="54"/>
      <c r="L8" s="54"/>
      <c r="M8" s="54"/>
    </row>
    <row r="9" customFormat="false" ht="15" hidden="false" customHeight="false" outlineLevel="0" collapsed="false">
      <c r="A9" s="53" t="s">
        <v>362</v>
      </c>
      <c r="B9" s="53" t="s">
        <v>363</v>
      </c>
      <c r="C9" s="54"/>
      <c r="D9" s="54"/>
      <c r="E9" s="54"/>
      <c r="F9" s="54"/>
      <c r="G9" s="54"/>
      <c r="H9" s="54"/>
      <c r="I9" s="54"/>
      <c r="J9" s="54"/>
      <c r="K9" s="61"/>
      <c r="L9" s="61"/>
      <c r="M9" s="61"/>
    </row>
    <row r="10" customFormat="false" ht="15" hidden="false" customHeight="false" outlineLevel="0" collapsed="false">
      <c r="A10" s="53" t="s">
        <v>364</v>
      </c>
      <c r="B10" s="53" t="s">
        <v>353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61"/>
    </row>
    <row r="12" customFormat="false" ht="15" hidden="false" customHeight="false" outlineLevel="0" collapsed="false">
      <c r="A12" s="43" t="s">
        <v>365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2026-10-13T05:12:37Z</dcterms:created>
  <dc:creator>openpyxl</dc:creator>
  <dc:description/>
  <dc:language>en-US</dc:language>
  <cp:lastModifiedBy/>
  <dcterms:modified xsi:type="dcterms:W3CDTF">2026-10-13T05:12:37Z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