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산출근거" sheetId="3" state="visible" r:id="rId5"/>
    <sheet name="도비" sheetId="4" state="visible" r:id="rId6"/>
    <sheet name="용접" sheetId="5" state="visible" r:id="rId7"/>
    <sheet name="베이스" sheetId="6" state="visible" r:id="rId8"/>
    <sheet name="베이스자재" sheetId="7" state="visible" r:id="rId9"/>
    <sheet name="공정표" sheetId="8" state="visible" r:id="rId10"/>
    <sheet name="요율근거" sheetId="9" state="visible" r:id="rId11"/>
  </sheets>
  <definedNames>
    <definedName function="false" hidden="false" localSheetId="3" name="_xlnm.Print_Titles" vbProcedure="false">도비!$7:$7</definedName>
    <definedName function="false" hidden="false" localSheetId="5" name="_xlnm.Print_Titles" vbProcedure="false">베이스!$7:$7</definedName>
    <definedName function="false" hidden="false" localSheetId="2" name="_xlnm.Print_Titles" vbProcedure="false">산출근거!$4:$4</definedName>
    <definedName function="false" hidden="false" localSheetId="4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<sst xmlns="http://schemas.openxmlformats.org/spreadsheetml/2006/main" count="773" uniqueCount="366">
  <si>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</si>
  <si>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</si>
  <si>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</si>
  <si>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</si>
  <si>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</si>
  <si>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</si>
  <si>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</si>
  <si>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</si>
  <si>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</si>
  <si>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</si>
  <si>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</si>
  <si>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</si>
  <si>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</si>
  <si>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</si>
  <si>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</si>
  <si>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</si>
  <si>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</si>
  <si>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</si>
  <si>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</si>
  <si>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</si>
  <si>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</si>
  <si>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</si>
  <si>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</si>
  <si>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WenQuanYi Zen Hei"/>
        <family val="2"/>
      </rPr>
      <t xml:space="preserve">총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착공일은 협의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</si>
  <si>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</si>
  <si>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</si>
  <si>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</si>
  <si>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</si>
  <si>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</si>
  <si>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</si>
  <si>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일금 칠천오백칠십사만구천삼백원정</t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</si>
  <si>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</si>
  <si>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</si>
  <si>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</si>
  <si>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</si>
  <si>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</si>
  <si>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</si>
  <si>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</si>
  <si>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</si>
  <si>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</si>
  <si>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</si>
  <si>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</si>
  <si>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</si>
  <si>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</si>
  <si>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</si>
  <si>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</si>
  <si>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</si>
  <si>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</si>
  <si>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</si>
  <si>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</si>
  <si>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</si>
  <si>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</si>
  <si>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</si>
  <si>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</si>
  <si>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않습니다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</si>
  <si>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변경 시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</si>
  <si>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베이스 </t>
    </r>
    <r>
      <rPr>
        <sz val="9"/>
        <color rgb="FF000000"/>
        <rFont val="맑은 고딕"/>
        <family val="0"/>
        <charset val="1"/>
      </rPr>
      <t xml:space="preserve">H</t>
    </r>
    <r>
      <rPr>
        <sz val="9"/>
        <color rgb="FF000000"/>
        <rFont val="WenQuanYi Zen Hei"/>
        <family val="2"/>
      </rPr>
      <t xml:space="preserve">빔은 중고품 회수조건입니다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발주처가 베이스를 소유하는 경우 </t>
    </r>
    <r>
      <rPr>
        <sz val="9"/>
        <color rgb="FF000000"/>
        <rFont val="맑은 고딕"/>
        <family val="0"/>
        <charset val="1"/>
      </rPr>
      <t xml:space="preserve">2,584,083</t>
    </r>
    <r>
      <rPr>
        <sz val="9"/>
        <color rgb="FF000000"/>
        <rFont val="WenQuanYi Zen Hei"/>
        <family val="2"/>
      </rPr>
      <t xml:space="preserve">원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중고 구매가 기준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이 추가됩니다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</si>
  <si>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발주처 요구 시 시행하며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범위에 따라 정산합니다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</si>
  <si>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5. 1</t>
    </r>
    <r>
      <rPr>
        <sz val="9"/>
        <color rgb="FF000000"/>
        <rFont val="WenQuanYi Zen Hei"/>
        <family val="2"/>
      </rPr>
      <t xml:space="preserve">일 </t>
    </r>
    <r>
      <rPr>
        <sz val="9"/>
        <color rgb="FF000000"/>
        <rFont val="맑은 고딕"/>
        <family val="0"/>
        <charset val="1"/>
      </rPr>
      <t xml:space="preserve">8</t>
    </r>
    <r>
      <rPr>
        <sz val="9"/>
        <color rgb="FF000000"/>
        <rFont val="WenQuanYi Zen Hei"/>
        <family val="2"/>
      </rPr>
      <t xml:space="preserve">시간 기준이며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작업과 발주처 사유 대기는 별도 협의합니다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</si>
  <si>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따릅니다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</si>
  <si>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칸입니다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</si>
  <si>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</si>
  <si>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</si>
  <si>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</si>
  <si>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</si>
  <si>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</si>
  <si>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</si>
  <si>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</si>
  <si>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</si>
  <si>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</si>
  <si>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</si>
  <si>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</si>
  <si>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</si>
  <si>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</si>
  <si>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</si>
  <si>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</si>
  <si>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</si>
  <si>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</si>
  <si>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</si>
  <si>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</si>
  <si>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</si>
  <si>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</si>
  <si>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</si>
  <si>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연동돼요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가정값이에요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</si>
  <si>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</si>
  <si>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</si>
  <si>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</si>
  <si>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</si>
  <si>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</si>
  <si>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</si>
  <si>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</si>
  <si>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</si>
  <si>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</si>
  <si>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</si>
  <si>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가정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</si>
  <si>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</si>
  <si>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</si>
  <si>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</si>
  <si>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</si>
  <si>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</si>
  <si>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</si>
  <si>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</si>
  <si>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</si>
  <si>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</si>
  <si>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</si>
  <si>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</si>
  <si>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</si>
  <si>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</si>
  <si>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</si>
  <si>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</si>
  <si>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</si>
  <si>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</si>
  <si>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</si>
  <si>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</si>
  <si>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</si>
  <si>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</si>
  <si>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</si>
  <si>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</si>
  <si>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</si>
  <si>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</si>
  <si>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</si>
  <si>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</si>
  <si>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</si>
  <si>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</si>
  <si>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3,200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</si>
  <si>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</si>
  <si>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조공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</si>
  <si>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</si>
  <si>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</si>
  <si>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</si>
  <si>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</si>
  <si>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</si>
  <si>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출입통제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</t>
    </r>
  </si>
  <si>
    <r>
      <rPr>
        <sz val="10"/>
        <color rgb="FF000000"/>
        <rFont val="WenQuanYi Zen Hei"/>
        <family val="2"/>
      </rPr>
      <t xml:space="preserve">경광등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라바콘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표지판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차단봉</t>
    </r>
  </si>
  <si>
    <t xml:space="preserve">식대</t>
  </si>
  <si>
    <r>
      <rPr>
        <sz val="10"/>
        <color rgb="FF000000"/>
        <rFont val="WenQuanYi Zen Hei"/>
        <family val="2"/>
      </rPr>
      <t xml:space="preserve">중식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</si>
  <si>
    <r>
      <rPr>
        <sz val="10"/>
        <color rgb="FF000000"/>
        <rFont val="맑은 고딕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</si>
  <si>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t xml:space="preserve">출장 교통비</t>
  </si>
  <si>
    <r>
      <rPr>
        <sz val="10"/>
        <color rgb="FF000000"/>
        <rFont val="WenQuanYi Zen Hei"/>
        <family val="2"/>
      </rPr>
      <t xml:space="preserve">작업차량 유류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통행료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</si>
  <si>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</si>
  <si>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</si>
  <si>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</si>
  <si>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</si>
  <si>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</si>
  <si>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</si>
  <si>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</si>
  <si>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</si>
  <si>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</si>
  <si>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</si>
  <si>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</si>
  <si>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</si>
  <si>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</si>
  <si>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</si>
  <si>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</si>
  <si>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</si>
  <si>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</si>
  <si>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</si>
  <si>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</si>
  <si>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</si>
  <si>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</si>
  <si>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</si>
  <si>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</si>
  <si>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</si>
  <si>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</si>
  <si>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</si>
  <si>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</si>
  <si>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</si>
  <si>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</si>
  <si>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r>
      <rPr>
        <sz val="10"/>
        <color rgb="FF000000"/>
        <rFont val="WenQuanYi Zen Hei"/>
        <family val="2"/>
      </rPr>
      <t xml:space="preserve">임시 분전반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</si>
  <si>
    <r>
      <rPr>
        <sz val="10"/>
        <color rgb="FF000000"/>
        <rFont val="WenQuanYi Zen Hei"/>
        <family val="2"/>
      </rPr>
      <t xml:space="preserve">용접기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전원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수전은 발주처 제공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</si>
  <si>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하부 작업발판</t>
  </si>
  <si>
    <t xml:space="preserve">이동식 작업대 임대</t>
  </si>
  <si>
    <t xml:space="preserve">용접 재료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</si>
  <si>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</si>
  <si>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</si>
  <si>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</si>
  <si>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요구 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</si>
  <si>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</si>
  <si>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</si>
  <si>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</si>
  <si>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</si>
  <si>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</si>
  <si>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</si>
  <si>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</si>
  <si>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</si>
  <si>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</si>
  <si>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t xml:space="preserve">용접 소모품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</si>
  <si>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</si>
  <si>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</si>
  <si>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</si>
  <si>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</si>
  <si>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</si>
  <si>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</si>
  <si>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</si>
  <si>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</si>
  <si>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</si>
  <si>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420,000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</si>
  <si>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</si>
  <si>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190,000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</si>
  <si>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</si>
  <si>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230,000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</si>
  <si>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</si>
  <si>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</si>
  <si>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</si>
  <si>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</si>
  <si>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</si>
  <si>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</si>
  <si>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</si>
  <si>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</si>
  <si>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</si>
  <si>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맑은 고딕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중식 </t>
    </r>
    <r>
      <rPr>
        <sz val="10"/>
        <color rgb="FF000000"/>
        <rFont val="맑은 고딕"/>
        <family val="0"/>
        <charset val="1"/>
      </rPr>
      <t xml:space="preserve">12,000 + </t>
    </r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 </t>
    </r>
    <r>
      <rPr>
        <sz val="10"/>
        <color rgb="FF000000"/>
        <rFont val="맑은 고딕"/>
        <family val="0"/>
        <charset val="1"/>
      </rPr>
      <t xml:space="preserve">8,000)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</si>
  <si>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85,000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</si>
  <si>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</si>
  <si>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</si>
  <si>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</si>
  <si>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</si>
  <si>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</si>
  <si>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구분</t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</si>
  <si>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</si>
  <si>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</si>
  <si>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</si>
  <si>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</si>
  <si>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</si>
  <si>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</si>
  <si>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</si>
  <si>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</si>
  <si>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</si>
  <si>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</si>
  <si>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</si>
  <si>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</si>
  <si>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</si>
  <si>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</si>
  <si>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</si>
  <si>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</si>
  <si>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</si>
  <si>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</si>
  <si>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</si>
  <si>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21 +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안전 </t>
    </r>
    <r>
      <rPr>
        <sz val="10"/>
        <color rgb="FF000000"/>
        <rFont val="맑은 고딕"/>
        <family val="0"/>
        <charset val="1"/>
      </rPr>
      <t xml:space="preserve">3 + </t>
    </r>
    <r>
      <rPr>
        <sz val="10"/>
        <color rgb="FF000000"/>
        <rFont val="WenQuanYi Zen Hei"/>
        <family val="2"/>
      </rPr>
      <t xml:space="preserve">펜스 </t>
    </r>
    <r>
      <rPr>
        <sz val="10"/>
        <color rgb="FF000000"/>
        <rFont val="맑은 고딕"/>
        <family val="0"/>
        <charset val="1"/>
      </rPr>
      <t xml:space="preserve">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</si>
  <si>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</si>
  <si>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</si>
  <si>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</si>
  <si>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</si>
  <si>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</si>
  <si>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</si>
  <si>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</si>
  <si>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</si>
  <si>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8.0%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</si>
  <si>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</si>
  <si>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</si>
  <si>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있습니다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</si>
  <si>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맑은 고딕"/>
        <family val="0"/>
        <charset val="1"/>
      </rPr>
      <t xml:space="preserve">※ 1</t>
    </r>
    <r>
      <rPr>
        <sz val="9"/>
        <color rgb="FF555555"/>
        <rFont val="WenQuanYi Zen Hei"/>
        <family val="2"/>
      </rPr>
      <t xml:space="preserve">일 </t>
    </r>
    <r>
      <rPr>
        <sz val="9"/>
        <color rgb="FF555555"/>
        <rFont val="맑은 고딕"/>
        <family val="0"/>
        <charset val="1"/>
      </rPr>
      <t xml:space="preserve">8</t>
    </r>
    <r>
      <rPr>
        <sz val="9"/>
        <color rgb="FF555555"/>
        <rFont val="WenQuanYi Zen Hei"/>
        <family val="2"/>
      </rPr>
      <t xml:space="preserve">시간 기준입니다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 작업 시 별도 협의합니다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</si>
  <si>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</si>
  <si>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</si>
  <si>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</si>
  <si>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</si>
  <si>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</si>
  <si>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</si>
  <si>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베이스 하부 통로 용접용</t>
  </si>
  <si>
    <t xml:space="preserve">검사</t>
  </si>
  <si>
    <r>
      <rPr>
        <sz val="10"/>
        <color rgb="FF000000"/>
        <rFont val="WenQuanYi Zen Hei"/>
        <family val="2"/>
      </rPr>
      <t xml:space="preserve">발주처 요구 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범위 협의</t>
    </r>
  </si>
  <si>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15 + 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8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5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</si>
  <si>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</si>
  <si>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</si>
  <si>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</si>
  <si>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</si>
  <si>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</si>
  <si>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</si>
  <si>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</si>
  <si>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</si>
  <si>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</si>
  <si>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제작 </t>
    </r>
    <r>
      <rPr>
        <sz val="10"/>
        <color rgb="FF000000"/>
        <rFont val="맑은 고딕"/>
        <family val="0"/>
        <charset val="1"/>
      </rPr>
      <t xml:space="preserve">12 +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3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</si>
  <si>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</si>
  <si>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</si>
  <si>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</si>
  <si>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</si>
  <si>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</si>
  <si>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</si>
  <si>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</si>
  <si>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</si>
  <si>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</si>
  <si>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</si>
  <si>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</si>
  <si>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</si>
  <si>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</si>
  <si>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</si>
  <si>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</si>
  <si>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</si>
  <si>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구조물이라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도장은 하지 않아요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</si>
  <si>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</si>
  <si>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</si>
  <si>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</si>
  <si>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</si>
  <si>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</si>
  <si>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</si>
  <si>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</si>
  <si>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</si>
  <si>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D6</t>
  </si>
  <si>
    <t xml:space="preserve">D7</t>
  </si>
  <si>
    <t xml:space="preserve">D8</t>
  </si>
  <si>
    <t xml:space="preserve">D9</t>
  </si>
  <si>
    <t xml:space="preserve">D10</t>
  </si>
  <si>
    <t xml:space="preserve">D11</t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</si>
  <si>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</si>
  <si>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</si>
  <si>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</si>
  <si>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</si>
  <si>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</si>
  <si>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</si>
  <si>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</si>
  <si>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</si>
  <si>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</si>
  <si>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</si>
  <si>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</si>
  <si>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</si>
  <si>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</si>
  <si>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베이스를 공장에서 먼저 제작하면 현장 공기를 줄일 수 있어요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</si>
  <si>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</si>
  <si>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바꾸면 모든 공종 시트와 견적서가 다시 계산돼요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</si>
  <si>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</si>
  <si>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</si>
  <si>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</si>
  <si>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</si>
  <si>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</si>
  <si>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</si>
  <si>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</si>
  <si>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</si>
  <si>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</si>
  <si>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</si>
  <si>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</si>
  <si>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</si>
  <si>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</si>
  <si>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</si>
  <si>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</si>
  <si>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</si>
  <si>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</si>
  <si>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</si>
  <si>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</si>
  <si>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</si>
  <si>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</si>
  <si>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</si>
  <si>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</si>
  <si>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</si>
  <si>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</si>
  <si>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</si>
  <si>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</si>
  <si>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</si>
  <si>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</si>
  <si>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</si>
  <si>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</si>
  <si>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</si>
  <si>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잡았어요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</si>
  <si>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</si>
  <si>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</si>
  <si>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</si>
  <si>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</si>
  <si>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</si>
  <si>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</si>
  <si>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</si>
  <si>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</si>
  <si>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</si>
  <si>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</si>
  <si>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</si>
  <si>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</si>
  <si>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</si>
  <si>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</si>
  <si>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다시 확인하세요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</si>
</sst>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8" t="s">
        <v>23</v>
      </c>
      <c r="C11" s="8"/>
      <c r="D11" s="8"/>
      <c r="E11" s="8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s">
        <v>30</v>
      </c>
      <c r="D16" s="12"/>
      <c r="E16" s="12"/>
      <c r="F16" s="12"/>
      <c r="G16" s="13" t="n">
        <f aca="false">원가계산서!E18</f>
        <v>75749300</v>
      </c>
      <c r="H16" s="13"/>
      <c r="I16" s="13"/>
    </row>
    <row r="18" customFormat="false" ht="15" hidden="false" customHeight="true" outlineLevel="0" collapsed="false">
      <c r="A18" s="14" t="s">
        <v>31</v>
      </c>
      <c r="B18" s="15" t="s">
        <v>32</v>
      </c>
      <c r="C18" s="15"/>
      <c r="D18" s="15" t="s">
        <v>33</v>
      </c>
      <c r="E18" s="15"/>
      <c r="F18" s="15"/>
      <c r="G18" s="15" t="s">
        <v>34</v>
      </c>
      <c r="H18" s="15" t="s">
        <v>35</v>
      </c>
      <c r="I18" s="15" t="s">
        <v>36</v>
      </c>
    </row>
    <row r="19" customFormat="false" ht="24" hidden="false" customHeight="true" outlineLevel="0" collapsed="false">
      <c r="A19" s="16" t="s">
        <v>37</v>
      </c>
      <c r="B19" s="17" t="s">
        <v>38</v>
      </c>
      <c r="C19" s="17"/>
      <c r="D19" s="8" t="s">
        <v>39</v>
      </c>
      <c r="E19" s="8"/>
      <c r="F19" s="8"/>
      <c r="G19" s="17" t="s">
        <v>40</v>
      </c>
      <c r="H19" s="18" t="n">
        <f aca="false">도비!$G$33</f>
        <v>25206000</v>
      </c>
      <c r="I19" s="8" t="s">
        <v>41</v>
      </c>
    </row>
    <row r="20" customFormat="false" ht="24" hidden="false" customHeight="true" outlineLevel="0" collapsed="false">
      <c r="A20" s="16" t="s">
        <v>42</v>
      </c>
      <c r="B20" s="17" t="s">
        <v>43</v>
      </c>
      <c r="C20" s="17"/>
      <c r="D20" s="8" t="s">
        <v>44</v>
      </c>
      <c r="E20" s="8"/>
      <c r="F20" s="8"/>
      <c r="G20" s="17" t="s">
        <v>40</v>
      </c>
      <c r="H20" s="18" t="n">
        <f aca="false">용접!$G$31</f>
        <v>24747000</v>
      </c>
      <c r="I20" s="8" t="s">
        <v>45</v>
      </c>
    </row>
    <row r="21" customFormat="false" ht="24" hidden="false" customHeight="true" outlineLevel="0" collapsed="false">
      <c r="A21" s="16" t="s">
        <v>46</v>
      </c>
      <c r="B21" s="17" t="s">
        <v>47</v>
      </c>
      <c r="C21" s="17"/>
      <c r="D21" s="8" t="s">
        <v>48</v>
      </c>
      <c r="E21" s="8"/>
      <c r="F21" s="8"/>
      <c r="G21" s="17" t="s">
        <v>40</v>
      </c>
      <c r="H21" s="18" t="n">
        <f aca="false">베이스!$G$34</f>
        <v>18910000</v>
      </c>
      <c r="I21" s="8" t="s">
        <v>49</v>
      </c>
    </row>
    <row r="22" customFormat="false" ht="24" hidden="false" customHeight="true" outlineLevel="0" collapsed="false">
      <c r="A22" s="3" t="s">
        <v>50</v>
      </c>
      <c r="B22" s="3"/>
      <c r="C22" s="3"/>
      <c r="D22" s="3"/>
      <c r="E22" s="3"/>
      <c r="F22" s="3"/>
      <c r="G22" s="3"/>
      <c r="H22" s="19" t="n">
        <f aca="false">SUM(H19:H21)</f>
        <v>68863000</v>
      </c>
      <c r="I22" s="20"/>
    </row>
    <row r="23" customFormat="false" ht="24" hidden="false" customHeight="true" outlineLevel="0" collapsed="false">
      <c r="A23" s="3" t="s">
        <v>51</v>
      </c>
      <c r="B23" s="3"/>
      <c r="C23" s="3"/>
      <c r="D23" s="3"/>
      <c r="E23" s="3"/>
      <c r="F23" s="3"/>
      <c r="G23" s="3"/>
      <c r="H23" s="19" t="n">
        <f aca="false">H22*0.1</f>
        <v>6886300</v>
      </c>
      <c r="I23" s="20"/>
    </row>
    <row r="24" customFormat="false" ht="24" hidden="false" customHeight="true" outlineLevel="0" collapsed="false">
      <c r="A24" s="21" t="s">
        <v>52</v>
      </c>
      <c r="B24" s="21"/>
      <c r="C24" s="21"/>
      <c r="D24" s="21"/>
      <c r="E24" s="21"/>
      <c r="F24" s="21"/>
      <c r="G24" s="21"/>
      <c r="H24" s="22" t="n">
        <f aca="false">H22+H23</f>
        <v>75749300</v>
      </c>
      <c r="I24" s="7"/>
    </row>
    <row r="26" customFormat="false" ht="15" hidden="false" customHeight="false" outlineLevel="0" collapsed="false">
      <c r="A26" s="23" t="s">
        <v>53</v>
      </c>
    </row>
    <row r="27" customFormat="false" ht="18" hidden="false" customHeight="true" outlineLevel="0" collapsed="false">
      <c r="A27" s="24" t="s">
        <v>54</v>
      </c>
      <c r="B27" s="24"/>
      <c r="C27" s="24"/>
      <c r="D27" s="24"/>
      <c r="E27" s="24"/>
      <c r="F27" s="24"/>
      <c r="G27" s="24"/>
      <c r="H27" s="24"/>
      <c r="I27" s="24"/>
    </row>
    <row r="28" customFormat="false" ht="18" hidden="false" customHeight="true" outlineLevel="0" collapsed="false">
      <c r="A28" s="24" t="s">
        <v>55</v>
      </c>
      <c r="B28" s="24"/>
      <c r="C28" s="24"/>
      <c r="D28" s="24"/>
      <c r="E28" s="24"/>
      <c r="F28" s="24"/>
      <c r="G28" s="24"/>
      <c r="H28" s="24"/>
      <c r="I28" s="24"/>
    </row>
    <row r="29" customFormat="false" ht="18" hidden="false" customHeight="true" outlineLevel="0" collapsed="false">
      <c r="A29" s="24" t="s">
        <v>56</v>
      </c>
      <c r="B29" s="24"/>
      <c r="C29" s="24"/>
      <c r="D29" s="24"/>
      <c r="E29" s="24"/>
      <c r="F29" s="24"/>
      <c r="G29" s="24"/>
      <c r="H29" s="24"/>
      <c r="I29" s="24"/>
    </row>
    <row r="30" customFormat="false" ht="18" hidden="false" customHeight="true" outlineLevel="0" collapsed="false">
      <c r="A30" s="24" t="s">
        <v>57</v>
      </c>
      <c r="B30" s="24"/>
      <c r="C30" s="24"/>
      <c r="D30" s="24"/>
      <c r="E30" s="24"/>
      <c r="F30" s="24"/>
      <c r="G30" s="24"/>
      <c r="H30" s="24"/>
      <c r="I30" s="24"/>
    </row>
    <row r="31" customFormat="false" ht="18" hidden="false" customHeight="true" outlineLevel="0" collapsed="false">
      <c r="A31" s="24" t="s">
        <v>58</v>
      </c>
      <c r="B31" s="24"/>
      <c r="C31" s="24"/>
      <c r="D31" s="24"/>
      <c r="E31" s="24"/>
      <c r="F31" s="24"/>
      <c r="G31" s="24"/>
      <c r="H31" s="24"/>
      <c r="I31" s="24"/>
    </row>
    <row r="32" customFormat="false" ht="18" hidden="false" customHeight="true" outlineLevel="0" collapsed="false">
      <c r="A32" s="24" t="s">
        <v>59</v>
      </c>
      <c r="B32" s="24"/>
      <c r="C32" s="24"/>
      <c r="D32" s="24"/>
      <c r="E32" s="24"/>
      <c r="F32" s="24"/>
      <c r="G32" s="24"/>
      <c r="H32" s="24"/>
      <c r="I32" s="24"/>
    </row>
    <row r="34" customFormat="false" ht="15" hidden="false" customHeight="false" outlineLevel="0" collapsed="false">
      <c r="A34" s="25" t="s">
        <v>60</v>
      </c>
    </row>
  </sheetData>
  <mergeCells count="34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F16"/>
    <mergeCell ref="G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6" t="s">
        <v>61</v>
      </c>
      <c r="B1" s="26"/>
      <c r="C1" s="26"/>
      <c r="D1" s="26"/>
      <c r="E1" s="26"/>
      <c r="F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</row>
    <row r="3" customFormat="false" ht="15" hidden="false" customHeight="true" outlineLevel="0" collapsed="false">
      <c r="A3" s="27" t="s">
        <v>62</v>
      </c>
      <c r="B3" s="27"/>
      <c r="C3" s="27"/>
      <c r="D3" s="27"/>
      <c r="E3" s="27"/>
      <c r="F3" s="27"/>
    </row>
    <row r="5" customFormat="false" ht="15" hidden="false" customHeight="false" outlineLevel="0" collapsed="false">
      <c r="A5" s="15" t="s">
        <v>63</v>
      </c>
      <c r="B5" s="15" t="s">
        <v>64</v>
      </c>
      <c r="C5" s="15" t="s">
        <v>65</v>
      </c>
      <c r="D5" s="15" t="s">
        <v>66</v>
      </c>
      <c r="E5" s="15" t="s">
        <v>67</v>
      </c>
      <c r="F5" s="15" t="s">
        <v>68</v>
      </c>
    </row>
    <row r="6" customFormat="false" ht="21.75" hidden="false" customHeight="true" outlineLevel="0" collapsed="false">
      <c r="A6" s="28" t="s">
        <v>69</v>
      </c>
      <c r="B6" s="18" t="n">
        <f aca="false">도비!$G$23</f>
        <v>1380000</v>
      </c>
      <c r="C6" s="18" t="n">
        <f aca="false">용접!$G$21</f>
        <v>3000000</v>
      </c>
      <c r="D6" s="18" t="n">
        <f aca="false">베이스!$G$24</f>
        <v>9233700</v>
      </c>
      <c r="E6" s="29" t="n">
        <f aca="false">SUM(B6:D6)</f>
        <v>13613700</v>
      </c>
      <c r="F6" s="30" t="n">
        <f aca="false">E6/$E$16</f>
        <v>0.197692519930877</v>
      </c>
    </row>
    <row r="7" customFormat="false" ht="21.75" hidden="false" customHeight="true" outlineLevel="0" collapsed="false">
      <c r="A7" s="28" t="s">
        <v>70</v>
      </c>
      <c r="B7" s="18" t="n">
        <f aca="false">도비!$G$24</f>
        <v>8160000</v>
      </c>
      <c r="C7" s="18" t="n">
        <f aca="false">용접!$G$22</f>
        <v>8710000</v>
      </c>
      <c r="D7" s="18" t="n">
        <f aca="false">베이스!$G$25</f>
        <v>4500000</v>
      </c>
      <c r="E7" s="29" t="n">
        <f aca="false">SUM(B7:D7)</f>
        <v>21370000</v>
      </c>
      <c r="F7" s="30" t="n">
        <f aca="false">E7/$E$16</f>
        <v>0.310326300045017</v>
      </c>
    </row>
    <row r="8" customFormat="false" ht="21.75" hidden="false" customHeight="true" outlineLevel="0" collapsed="false">
      <c r="A8" s="28" t="s">
        <v>71</v>
      </c>
      <c r="B8" s="18" t="n">
        <f aca="false">도비!$G$25</f>
        <v>12104400</v>
      </c>
      <c r="C8" s="18" t="n">
        <f aca="false">용접!$G$23</f>
        <v>9550000</v>
      </c>
      <c r="D8" s="18" t="n">
        <f aca="false">베이스!$G$26</f>
        <v>2955000</v>
      </c>
      <c r="E8" s="29" t="n">
        <f aca="false">SUM(B8:D8)</f>
        <v>24609400</v>
      </c>
      <c r="F8" s="30" t="n">
        <f aca="false">E8/$E$16</f>
        <v>0.357367526828631</v>
      </c>
    </row>
    <row r="9" customFormat="false" ht="21.75" hidden="false" customHeight="true" outlineLevel="0" collapsed="false">
      <c r="A9" s="28" t="s">
        <v>72</v>
      </c>
      <c r="B9" s="18" t="n">
        <f aca="false">도비!$G$26</f>
        <v>290496</v>
      </c>
      <c r="C9" s="18" t="n">
        <f aca="false">용접!$G$24</f>
        <v>310076</v>
      </c>
      <c r="D9" s="18" t="n">
        <f aca="false">베이스!$G$27</f>
        <v>160200</v>
      </c>
      <c r="E9" s="29" t="n">
        <f aca="false">SUM(B9:D9)</f>
        <v>760772</v>
      </c>
      <c r="F9" s="30" t="n">
        <f aca="false">E9/$E$16</f>
        <v>0.0110476162816026</v>
      </c>
    </row>
    <row r="10" customFormat="false" ht="21.75" hidden="false" customHeight="true" outlineLevel="0" collapsed="false">
      <c r="A10" s="28" t="s">
        <v>73</v>
      </c>
      <c r="B10" s="18" t="n">
        <f aca="false">도비!$G$27</f>
        <v>93840</v>
      </c>
      <c r="C10" s="18" t="n">
        <f aca="false">용접!$G$25</f>
        <v>100165</v>
      </c>
      <c r="D10" s="18" t="n">
        <f aca="false">베이스!$G$28</f>
        <v>51750</v>
      </c>
      <c r="E10" s="29" t="n">
        <f aca="false">SUM(B10:D10)</f>
        <v>245755</v>
      </c>
      <c r="F10" s="30" t="n">
        <f aca="false">E10/$E$16</f>
        <v>0.00356875245051769</v>
      </c>
    </row>
    <row r="11" customFormat="false" ht="21.75" hidden="false" customHeight="true" outlineLevel="0" collapsed="false">
      <c r="A11" s="28" t="s">
        <v>74</v>
      </c>
      <c r="B11" s="18" t="n">
        <f aca="false">도비!$G$28</f>
        <v>296694</v>
      </c>
      <c r="C11" s="18" t="n">
        <f aca="false">용접!$G$26</f>
        <v>364181</v>
      </c>
      <c r="D11" s="18" t="n">
        <f aca="false">베이스!$G$29</f>
        <v>427118.07</v>
      </c>
      <c r="E11" s="29" t="n">
        <f aca="false">SUM(B11:D11)</f>
        <v>1087993.07</v>
      </c>
      <c r="F11" s="30" t="n">
        <f aca="false">E11/$E$16</f>
        <v>0.0157993853012503</v>
      </c>
    </row>
    <row r="12" customFormat="false" ht="21.75" hidden="false" customHeight="true" outlineLevel="0" collapsed="false">
      <c r="A12" s="3" t="s">
        <v>75</v>
      </c>
      <c r="B12" s="31" t="n">
        <f aca="false">도비!$G$29</f>
        <v>22325430</v>
      </c>
      <c r="C12" s="31" t="n">
        <f aca="false">용접!$G$27</f>
        <v>22034422</v>
      </c>
      <c r="D12" s="31" t="n">
        <f aca="false">베이스!$G$30</f>
        <v>17327768.07</v>
      </c>
      <c r="E12" s="19" t="n">
        <f aca="false">SUM(B12:D12)</f>
        <v>61687620.07</v>
      </c>
      <c r="F12" s="32" t="n">
        <f aca="false">E12/$E$16</f>
        <v>0.895802100837896</v>
      </c>
    </row>
    <row r="13" customFormat="false" ht="21.75" hidden="false" customHeight="true" outlineLevel="0" collapsed="false">
      <c r="A13" s="28" t="s">
        <v>76</v>
      </c>
      <c r="B13" s="18" t="n">
        <f aca="false">도비!$G$30</f>
        <v>1116271.5</v>
      </c>
      <c r="C13" s="18" t="n">
        <f aca="false">용접!$G$28</f>
        <v>1101721.1</v>
      </c>
      <c r="D13" s="18" t="n">
        <f aca="false">베이스!$G$31</f>
        <v>866388.4035</v>
      </c>
      <c r="E13" s="29" t="n">
        <f aca="false">SUM(B13:D13)</f>
        <v>3084381.0035</v>
      </c>
      <c r="F13" s="30" t="n">
        <f aca="false">E13/$E$16</f>
        <v>0.0447901050418948</v>
      </c>
    </row>
    <row r="14" customFormat="false" ht="21.75" hidden="false" customHeight="true" outlineLevel="0" collapsed="false">
      <c r="A14" s="28" t="s">
        <v>77</v>
      </c>
      <c r="B14" s="18" t="n">
        <f aca="false">도비!$G$31</f>
        <v>1764936.12</v>
      </c>
      <c r="C14" s="18" t="n">
        <f aca="false">용접!$G$29</f>
        <v>1610891.448</v>
      </c>
      <c r="D14" s="18" t="n">
        <f aca="false">베이스!$G$32</f>
        <v>716836.51788</v>
      </c>
      <c r="E14" s="29" t="n">
        <f aca="false">SUM(B14:D14)</f>
        <v>4092664.08588</v>
      </c>
      <c r="F14" s="30" t="n">
        <f aca="false">E14/$E$16</f>
        <v>0.0594319748759131</v>
      </c>
    </row>
    <row r="15" customFormat="false" ht="21.75" hidden="false" customHeight="true" outlineLevel="0" collapsed="false">
      <c r="A15" s="28" t="s">
        <v>78</v>
      </c>
      <c r="B15" s="18" t="n">
        <f aca="false">도비!$G$32</f>
        <v>-637.620000001043</v>
      </c>
      <c r="C15" s="18" t="n">
        <f aca="false">용접!$G$30</f>
        <v>-34.5480000004172</v>
      </c>
      <c r="D15" s="18" t="n">
        <f aca="false">베이스!$G$33</f>
        <v>-992.991379998624</v>
      </c>
      <c r="E15" s="29" t="n">
        <f aca="false">SUM(B15:D15)</f>
        <v>-1665.15938000008</v>
      </c>
      <c r="F15" s="30" t="n">
        <f aca="false">E15/$E$16</f>
        <v>-2.41807557033543E-005</v>
      </c>
    </row>
    <row r="16" customFormat="false" ht="21.75" hidden="false" customHeight="true" outlineLevel="0" collapsed="false">
      <c r="A16" s="3" t="s">
        <v>35</v>
      </c>
      <c r="B16" s="31" t="n">
        <f aca="false">도비!$G$33</f>
        <v>25206000</v>
      </c>
      <c r="C16" s="31" t="n">
        <f aca="false">용접!$G$31</f>
        <v>24747000</v>
      </c>
      <c r="D16" s="31" t="n">
        <f aca="false">베이스!$G$34</f>
        <v>18910000</v>
      </c>
      <c r="E16" s="19" t="n">
        <f aca="false">SUM(B16:D16)</f>
        <v>68863000</v>
      </c>
      <c r="F16" s="32" t="n">
        <f aca="false">E16/$E$16</f>
        <v>1</v>
      </c>
    </row>
    <row r="17" customFormat="false" ht="15" hidden="false" customHeight="false" outlineLevel="0" collapsed="false">
      <c r="A17" s="17" t="s">
        <v>79</v>
      </c>
      <c r="B17" s="33"/>
      <c r="C17" s="33"/>
      <c r="D17" s="33"/>
      <c r="E17" s="33" t="n">
        <f aca="false">E16*0.1</f>
        <v>6886300</v>
      </c>
      <c r="F17" s="33"/>
    </row>
    <row r="18" customFormat="false" ht="15" hidden="false" customHeight="false" outlineLevel="0" collapsed="false">
      <c r="A18" s="21" t="s">
        <v>80</v>
      </c>
      <c r="B18" s="22"/>
      <c r="C18" s="22"/>
      <c r="D18" s="22"/>
      <c r="E18" s="22" t="n">
        <f aca="false">E16+E17</f>
        <v>75749300</v>
      </c>
      <c r="F18" s="22"/>
    </row>
    <row r="20" customFormat="false" ht="30" hidden="false" customHeight="true" outlineLevel="0" collapsed="false">
      <c r="A20" s="34" t="s">
        <v>81</v>
      </c>
      <c r="B20" s="34"/>
      <c r="C20" s="34"/>
      <c r="D20" s="34"/>
      <c r="E20" s="34"/>
      <c r="F20" s="34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5" t="s">
        <v>82</v>
      </c>
    </row>
    <row r="2" customFormat="false" ht="15" hidden="false" customHeight="false" outlineLevel="0" collapsed="false">
      <c r="A2" s="36" t="s">
        <v>83</v>
      </c>
    </row>
    <row r="4" customFormat="false" ht="15" hidden="false" customHeight="false" outlineLevel="0" collapsed="false">
      <c r="A4" s="15" t="s">
        <v>84</v>
      </c>
      <c r="B4" s="15" t="s">
        <v>85</v>
      </c>
      <c r="C4" s="15" t="s">
        <v>86</v>
      </c>
      <c r="D4" s="15" t="s">
        <v>87</v>
      </c>
      <c r="E4" s="15" t="s">
        <v>88</v>
      </c>
      <c r="F4" s="15" t="s">
        <v>89</v>
      </c>
      <c r="G4" s="15" t="s">
        <v>90</v>
      </c>
    </row>
    <row r="5" customFormat="false" ht="26.85" hidden="false" customHeight="false" outlineLevel="0" collapsed="false">
      <c r="A5" s="8" t="s">
        <v>64</v>
      </c>
      <c r="B5" s="8" t="s">
        <v>91</v>
      </c>
      <c r="C5" s="8" t="s">
        <v>92</v>
      </c>
      <c r="D5" s="4" t="s">
        <v>93</v>
      </c>
      <c r="E5" s="37" t="n">
        <f aca="false">도비!G8</f>
        <v>6300000</v>
      </c>
      <c r="F5" s="10" t="s">
        <v>94</v>
      </c>
      <c r="G5" s="8" t="s">
        <v>95</v>
      </c>
    </row>
    <row r="6" customFormat="false" ht="15" hidden="false" customHeight="false" outlineLevel="0" collapsed="false">
      <c r="A6" s="8" t="s">
        <v>64</v>
      </c>
      <c r="B6" s="8" t="s">
        <v>96</v>
      </c>
      <c r="C6" s="8" t="s">
        <v>97</v>
      </c>
      <c r="D6" s="4" t="s">
        <v>98</v>
      </c>
      <c r="E6" s="37" t="n">
        <f aca="false">도비!G9</f>
        <v>520000</v>
      </c>
      <c r="F6" s="10" t="s">
        <v>99</v>
      </c>
      <c r="G6" s="8" t="s">
        <v>100</v>
      </c>
    </row>
    <row r="7" customFormat="false" ht="26.1" hidden="false" customHeight="false" outlineLevel="0" collapsed="false">
      <c r="A7" s="8" t="s">
        <v>64</v>
      </c>
      <c r="B7" s="8" t="s">
        <v>101</v>
      </c>
      <c r="C7" s="8" t="s">
        <v>102</v>
      </c>
      <c r="D7" s="4" t="s">
        <v>103</v>
      </c>
      <c r="E7" s="37" t="n">
        <f aca="false">도비!G10</f>
        <v>960000</v>
      </c>
      <c r="F7" s="10" t="s">
        <v>99</v>
      </c>
      <c r="G7" s="4"/>
    </row>
    <row r="8" customFormat="false" ht="15" hidden="false" customHeight="false" outlineLevel="0" collapsed="false">
      <c r="A8" s="8" t="s">
        <v>64</v>
      </c>
      <c r="B8" s="8" t="s">
        <v>104</v>
      </c>
      <c r="C8" s="4" t="s">
        <v>105</v>
      </c>
      <c r="D8" s="4" t="s">
        <v>106</v>
      </c>
      <c r="E8" s="37" t="n">
        <f aca="false">도비!G11</f>
        <v>2400000</v>
      </c>
      <c r="F8" s="8" t="s">
        <v>107</v>
      </c>
      <c r="G8" s="4"/>
    </row>
    <row r="9" customFormat="false" ht="15" hidden="false" customHeight="false" outlineLevel="0" collapsed="false">
      <c r="A9" s="8" t="s">
        <v>64</v>
      </c>
      <c r="B9" s="8" t="s">
        <v>104</v>
      </c>
      <c r="C9" s="4" t="s">
        <v>108</v>
      </c>
      <c r="D9" s="4" t="s">
        <v>109</v>
      </c>
      <c r="E9" s="37" t="n">
        <f aca="false">도비!G12</f>
        <v>1700000</v>
      </c>
      <c r="F9" s="8" t="s">
        <v>107</v>
      </c>
      <c r="G9" s="4"/>
    </row>
    <row r="10" customFormat="false" ht="15" hidden="false" customHeight="false" outlineLevel="0" collapsed="false">
      <c r="A10" s="8" t="s">
        <v>64</v>
      </c>
      <c r="B10" s="8" t="s">
        <v>110</v>
      </c>
      <c r="C10" s="4" t="s">
        <v>111</v>
      </c>
      <c r="D10" s="4" t="s">
        <v>112</v>
      </c>
      <c r="E10" s="37" t="n">
        <f aca="false">도비!G13</f>
        <v>640000</v>
      </c>
      <c r="F10" s="10" t="s">
        <v>99</v>
      </c>
      <c r="G10" s="4"/>
    </row>
    <row r="11" customFormat="false" ht="15" hidden="false" customHeight="false" outlineLevel="0" collapsed="false">
      <c r="A11" s="8" t="s">
        <v>64</v>
      </c>
      <c r="B11" s="8" t="s">
        <v>113</v>
      </c>
      <c r="C11" s="8" t="s">
        <v>114</v>
      </c>
      <c r="D11" s="4" t="s">
        <v>115</v>
      </c>
      <c r="E11" s="37" t="n">
        <f aca="false">도비!G14</f>
        <v>2000000</v>
      </c>
      <c r="F11" s="10" t="s">
        <v>99</v>
      </c>
      <c r="G11" s="4"/>
    </row>
    <row r="12" customFormat="false" ht="15" hidden="false" customHeight="false" outlineLevel="0" collapsed="false">
      <c r="A12" s="8" t="s">
        <v>64</v>
      </c>
      <c r="B12" s="8" t="s">
        <v>116</v>
      </c>
      <c r="C12" s="8" t="s">
        <v>117</v>
      </c>
      <c r="D12" s="4" t="s">
        <v>118</v>
      </c>
      <c r="E12" s="37" t="n">
        <f aca="false">도비!G15</f>
        <v>3000000</v>
      </c>
      <c r="F12" s="8" t="s">
        <v>119</v>
      </c>
      <c r="G12" s="4"/>
    </row>
    <row r="13" customFormat="false" ht="15" hidden="false" customHeight="false" outlineLevel="0" collapsed="false">
      <c r="A13" s="8" t="s">
        <v>64</v>
      </c>
      <c r="B13" s="8" t="s">
        <v>120</v>
      </c>
      <c r="C13" s="8" t="s">
        <v>121</v>
      </c>
      <c r="D13" s="4" t="s">
        <v>118</v>
      </c>
      <c r="E13" s="37" t="n">
        <f aca="false">도비!G16</f>
        <v>1000000</v>
      </c>
      <c r="F13" s="8" t="s">
        <v>119</v>
      </c>
      <c r="G13" s="4"/>
    </row>
    <row r="14" customFormat="false" ht="26.85" hidden="false" customHeight="false" outlineLevel="0" collapsed="false">
      <c r="A14" s="8" t="s">
        <v>64</v>
      </c>
      <c r="B14" s="8" t="s">
        <v>122</v>
      </c>
      <c r="C14" s="8" t="s">
        <v>123</v>
      </c>
      <c r="D14" s="8" t="s">
        <v>124</v>
      </c>
      <c r="E14" s="37" t="n">
        <f aca="false">도비!G17</f>
        <v>774400</v>
      </c>
      <c r="F14" s="10" t="s">
        <v>99</v>
      </c>
      <c r="G14" s="4"/>
    </row>
    <row r="15" customFormat="false" ht="15" hidden="false" customHeight="false" outlineLevel="0" collapsed="false">
      <c r="A15" s="8" t="s">
        <v>64</v>
      </c>
      <c r="B15" s="8" t="s">
        <v>125</v>
      </c>
      <c r="C15" s="8" t="s">
        <v>126</v>
      </c>
      <c r="D15" s="4" t="s">
        <v>127</v>
      </c>
      <c r="E15" s="37" t="n">
        <f aca="false">도비!G18</f>
        <v>380000</v>
      </c>
      <c r="F15" s="10" t="s">
        <v>99</v>
      </c>
      <c r="G15" s="8" t="s">
        <v>128</v>
      </c>
    </row>
    <row r="16" customFormat="false" ht="15" hidden="false" customHeight="false" outlineLevel="0" collapsed="false">
      <c r="A16" s="8" t="s">
        <v>64</v>
      </c>
      <c r="B16" s="8" t="s">
        <v>129</v>
      </c>
      <c r="C16" s="4" t="s">
        <v>130</v>
      </c>
      <c r="D16" s="4" t="s">
        <v>131</v>
      </c>
      <c r="E16" s="37" t="n">
        <f aca="false">도비!G19</f>
        <v>520000</v>
      </c>
      <c r="F16" s="10" t="s">
        <v>99</v>
      </c>
      <c r="G16" s="4"/>
    </row>
    <row r="17" customFormat="false" ht="15" hidden="false" customHeight="false" outlineLevel="0" collapsed="false">
      <c r="A17" s="8" t="s">
        <v>64</v>
      </c>
      <c r="B17" s="8" t="s">
        <v>132</v>
      </c>
      <c r="C17" s="8" t="s">
        <v>133</v>
      </c>
      <c r="D17" s="4" t="s">
        <v>118</v>
      </c>
      <c r="E17" s="37" t="n">
        <f aca="false">도비!G20</f>
        <v>380000</v>
      </c>
      <c r="F17" s="10" t="s">
        <v>99</v>
      </c>
      <c r="G17" s="4"/>
    </row>
    <row r="18" customFormat="false" ht="26.1" hidden="false" customHeight="false" outlineLevel="0" collapsed="false">
      <c r="A18" s="8" t="s">
        <v>64</v>
      </c>
      <c r="B18" s="8" t="s">
        <v>134</v>
      </c>
      <c r="C18" s="8" t="s">
        <v>135</v>
      </c>
      <c r="D18" s="4" t="s">
        <v>136</v>
      </c>
      <c r="E18" s="37" t="n">
        <f aca="false">도비!G21</f>
        <v>560000</v>
      </c>
      <c r="F18" s="10" t="s">
        <v>99</v>
      </c>
      <c r="G18" s="4"/>
    </row>
    <row r="19" customFormat="false" ht="15" hidden="false" customHeight="false" outlineLevel="0" collapsed="false">
      <c r="A19" s="8" t="s">
        <v>64</v>
      </c>
      <c r="B19" s="8" t="s">
        <v>137</v>
      </c>
      <c r="C19" s="8" t="s">
        <v>138</v>
      </c>
      <c r="D19" s="4" t="s">
        <v>139</v>
      </c>
      <c r="E19" s="37" t="n">
        <f aca="false">도비!G22</f>
        <v>510000</v>
      </c>
      <c r="F19" s="10" t="s">
        <v>99</v>
      </c>
      <c r="G19" s="4"/>
    </row>
    <row r="20" customFormat="false" ht="26.85" hidden="false" customHeight="false" outlineLevel="0" collapsed="false">
      <c r="A20" s="20"/>
      <c r="B20" s="38" t="s">
        <v>140</v>
      </c>
      <c r="C20" s="20"/>
      <c r="D20" s="20"/>
      <c r="E20" s="39" t="n">
        <f aca="false">도비!$G$33-SUM(도비!$G$23:$G$25)</f>
        <v>3561600</v>
      </c>
      <c r="F20" s="40" t="s">
        <v>141</v>
      </c>
      <c r="G20" s="20"/>
    </row>
    <row r="21" customFormat="false" ht="15" hidden="false" customHeight="false" outlineLevel="0" collapsed="false">
      <c r="A21" s="20"/>
      <c r="B21" s="38" t="s">
        <v>142</v>
      </c>
      <c r="C21" s="20"/>
      <c r="D21" s="20"/>
      <c r="E21" s="39" t="n">
        <f aca="false">도비!$G$33</f>
        <v>25206000</v>
      </c>
      <c r="F21" s="40" t="s">
        <v>143</v>
      </c>
      <c r="G21" s="20"/>
    </row>
    <row r="23" customFormat="false" ht="26.85" hidden="false" customHeight="false" outlineLevel="0" collapsed="false">
      <c r="A23" s="8" t="s">
        <v>65</v>
      </c>
      <c r="B23" s="8" t="s">
        <v>144</v>
      </c>
      <c r="C23" s="4" t="s">
        <v>145</v>
      </c>
      <c r="D23" s="4" t="s">
        <v>146</v>
      </c>
      <c r="E23" s="37" t="n">
        <f aca="false">용접!G8</f>
        <v>3780000</v>
      </c>
      <c r="F23" s="8" t="s">
        <v>147</v>
      </c>
      <c r="G23" s="8" t="s">
        <v>148</v>
      </c>
    </row>
    <row r="24" customFormat="false" ht="26.85" hidden="false" customHeight="false" outlineLevel="0" collapsed="false">
      <c r="A24" s="8" t="s">
        <v>65</v>
      </c>
      <c r="B24" s="8" t="s">
        <v>149</v>
      </c>
      <c r="C24" s="8" t="s">
        <v>150</v>
      </c>
      <c r="D24" s="4" t="s">
        <v>151</v>
      </c>
      <c r="E24" s="37" t="n">
        <f aca="false">용접!G9</f>
        <v>1980000</v>
      </c>
      <c r="F24" s="8" t="s">
        <v>147</v>
      </c>
      <c r="G24" s="8" t="s">
        <v>152</v>
      </c>
    </row>
    <row r="25" customFormat="false" ht="15" hidden="false" customHeight="false" outlineLevel="0" collapsed="false">
      <c r="A25" s="8" t="s">
        <v>65</v>
      </c>
      <c r="B25" s="8" t="s">
        <v>153</v>
      </c>
      <c r="C25" s="8" t="s">
        <v>154</v>
      </c>
      <c r="D25" s="4" t="s">
        <v>155</v>
      </c>
      <c r="E25" s="37" t="n">
        <f aca="false">용접!G10</f>
        <v>1040000</v>
      </c>
      <c r="F25" s="8" t="s">
        <v>156</v>
      </c>
      <c r="G25" s="8" t="s">
        <v>100</v>
      </c>
    </row>
    <row r="26" customFormat="false" ht="15" hidden="false" customHeight="false" outlineLevel="0" collapsed="false">
      <c r="A26" s="8" t="s">
        <v>65</v>
      </c>
      <c r="B26" s="8" t="s">
        <v>126</v>
      </c>
      <c r="C26" s="8" t="s">
        <v>157</v>
      </c>
      <c r="D26" s="4" t="s">
        <v>158</v>
      </c>
      <c r="E26" s="37" t="n">
        <f aca="false">용접!G11</f>
        <v>760000</v>
      </c>
      <c r="F26" s="8" t="s">
        <v>156</v>
      </c>
      <c r="G26" s="8" t="s">
        <v>128</v>
      </c>
    </row>
    <row r="27" customFormat="false" ht="26.85" hidden="false" customHeight="false" outlineLevel="0" collapsed="false">
      <c r="A27" s="8" t="s">
        <v>65</v>
      </c>
      <c r="B27" s="8" t="s">
        <v>159</v>
      </c>
      <c r="C27" s="8" t="s">
        <v>160</v>
      </c>
      <c r="D27" s="4" t="s">
        <v>161</v>
      </c>
      <c r="E27" s="37" t="n">
        <f aca="false">용접!G12</f>
        <v>1150000</v>
      </c>
      <c r="F27" s="10" t="s">
        <v>162</v>
      </c>
      <c r="G27" s="8" t="s">
        <v>100</v>
      </c>
    </row>
    <row r="28" customFormat="false" ht="15" hidden="false" customHeight="false" outlineLevel="0" collapsed="false">
      <c r="A28" s="8" t="s">
        <v>65</v>
      </c>
      <c r="B28" s="4" t="s">
        <v>163</v>
      </c>
      <c r="C28" s="4" t="s">
        <v>164</v>
      </c>
      <c r="D28" s="4" t="s">
        <v>165</v>
      </c>
      <c r="E28" s="37" t="n">
        <f aca="false">용접!G13</f>
        <v>3600000</v>
      </c>
      <c r="F28" s="8" t="s">
        <v>107</v>
      </c>
      <c r="G28" s="4"/>
    </row>
    <row r="29" customFormat="false" ht="15" hidden="false" customHeight="false" outlineLevel="0" collapsed="false">
      <c r="A29" s="8" t="s">
        <v>65</v>
      </c>
      <c r="B29" s="8" t="s">
        <v>166</v>
      </c>
      <c r="C29" s="8" t="s">
        <v>167</v>
      </c>
      <c r="D29" s="4" t="s">
        <v>118</v>
      </c>
      <c r="E29" s="37" t="n">
        <f aca="false">용접!G14</f>
        <v>800000</v>
      </c>
      <c r="F29" s="10" t="s">
        <v>99</v>
      </c>
      <c r="G29" s="4"/>
    </row>
    <row r="30" customFormat="false" ht="26.85" hidden="false" customHeight="false" outlineLevel="0" collapsed="false">
      <c r="A30" s="8" t="s">
        <v>65</v>
      </c>
      <c r="B30" s="8" t="s">
        <v>168</v>
      </c>
      <c r="C30" s="8" t="s">
        <v>169</v>
      </c>
      <c r="D30" s="4" t="s">
        <v>118</v>
      </c>
      <c r="E30" s="37" t="n">
        <f aca="false">용접!G15</f>
        <v>680000</v>
      </c>
      <c r="F30" s="10" t="s">
        <v>99</v>
      </c>
      <c r="G30" s="4"/>
    </row>
    <row r="31" customFormat="false" ht="15" hidden="false" customHeight="false" outlineLevel="0" collapsed="false">
      <c r="A31" s="8" t="s">
        <v>65</v>
      </c>
      <c r="B31" s="8" t="s">
        <v>170</v>
      </c>
      <c r="C31" s="8" t="s">
        <v>171</v>
      </c>
      <c r="D31" s="4" t="s">
        <v>118</v>
      </c>
      <c r="E31" s="37" t="n">
        <f aca="false">용접!G16</f>
        <v>560000</v>
      </c>
      <c r="F31" s="10" t="s">
        <v>99</v>
      </c>
      <c r="G31" s="4"/>
    </row>
    <row r="32" customFormat="false" ht="15" hidden="false" customHeight="false" outlineLevel="0" collapsed="false">
      <c r="A32" s="8" t="s">
        <v>65</v>
      </c>
      <c r="B32" s="8" t="s">
        <v>172</v>
      </c>
      <c r="C32" s="4" t="s">
        <v>173</v>
      </c>
      <c r="D32" s="4" t="s">
        <v>118</v>
      </c>
      <c r="E32" s="37" t="n">
        <f aca="false">용접!G17</f>
        <v>3000000</v>
      </c>
      <c r="F32" s="10" t="s">
        <v>99</v>
      </c>
      <c r="G32" s="4"/>
    </row>
    <row r="33" customFormat="false" ht="15" hidden="false" customHeight="false" outlineLevel="0" collapsed="false">
      <c r="A33" s="8" t="s">
        <v>65</v>
      </c>
      <c r="B33" s="8" t="s">
        <v>174</v>
      </c>
      <c r="C33" s="4" t="s">
        <v>175</v>
      </c>
      <c r="D33" s="4" t="s">
        <v>176</v>
      </c>
      <c r="E33" s="37" t="n">
        <f aca="false">용접!G18</f>
        <v>2500000</v>
      </c>
      <c r="F33" s="10" t="s">
        <v>99</v>
      </c>
      <c r="G33" s="4"/>
    </row>
    <row r="34" customFormat="false" ht="26.1" hidden="false" customHeight="false" outlineLevel="0" collapsed="false">
      <c r="A34" s="8" t="s">
        <v>65</v>
      </c>
      <c r="B34" s="8" t="s">
        <v>134</v>
      </c>
      <c r="C34" s="8" t="s">
        <v>135</v>
      </c>
      <c r="D34" s="4" t="s">
        <v>136</v>
      </c>
      <c r="E34" s="37" t="n">
        <f aca="false">용접!G19</f>
        <v>560000</v>
      </c>
      <c r="F34" s="10" t="s">
        <v>99</v>
      </c>
      <c r="G34" s="4"/>
    </row>
    <row r="35" customFormat="false" ht="15" hidden="false" customHeight="false" outlineLevel="0" collapsed="false">
      <c r="A35" s="8" t="s">
        <v>65</v>
      </c>
      <c r="B35" s="8" t="s">
        <v>137</v>
      </c>
      <c r="C35" s="8" t="s">
        <v>138</v>
      </c>
      <c r="D35" s="4" t="s">
        <v>177</v>
      </c>
      <c r="E35" s="37" t="n">
        <f aca="false">용접!G20</f>
        <v>850000</v>
      </c>
      <c r="F35" s="10" t="s">
        <v>99</v>
      </c>
      <c r="G35" s="4"/>
    </row>
    <row r="36" customFormat="false" ht="26.85" hidden="false" customHeight="false" outlineLevel="0" collapsed="false">
      <c r="A36" s="20"/>
      <c r="B36" s="38" t="s">
        <v>140</v>
      </c>
      <c r="C36" s="20"/>
      <c r="D36" s="20"/>
      <c r="E36" s="39" t="n">
        <f aca="false">용접!$G$31-SUM(용접!$G$21:$G$23)</f>
        <v>3487000</v>
      </c>
      <c r="F36" s="40" t="s">
        <v>141</v>
      </c>
      <c r="G36" s="20"/>
    </row>
    <row r="37" customFormat="false" ht="15" hidden="false" customHeight="false" outlineLevel="0" collapsed="false">
      <c r="A37" s="20"/>
      <c r="B37" s="38" t="s">
        <v>142</v>
      </c>
      <c r="C37" s="20"/>
      <c r="D37" s="20"/>
      <c r="E37" s="39" t="n">
        <f aca="false">용접!$G$31</f>
        <v>24747000</v>
      </c>
      <c r="F37" s="40" t="s">
        <v>178</v>
      </c>
      <c r="G37" s="20"/>
    </row>
    <row r="39" customFormat="false" ht="26.85" hidden="false" customHeight="false" outlineLevel="0" collapsed="false">
      <c r="A39" s="8" t="s">
        <v>66</v>
      </c>
      <c r="B39" s="4" t="s">
        <v>179</v>
      </c>
      <c r="C39" s="4" t="s">
        <v>180</v>
      </c>
      <c r="D39" s="4" t="s">
        <v>181</v>
      </c>
      <c r="E39" s="37" t="n">
        <f aca="false">베이스!G8</f>
        <v>6993700</v>
      </c>
      <c r="F39" s="8" t="s">
        <v>182</v>
      </c>
      <c r="G39" s="4"/>
    </row>
    <row r="40" customFormat="false" ht="15" hidden="false" customHeight="false" outlineLevel="0" collapsed="false">
      <c r="A40" s="8" t="s">
        <v>66</v>
      </c>
      <c r="B40" s="4" t="s">
        <v>183</v>
      </c>
      <c r="C40" s="4"/>
      <c r="D40" s="4" t="s">
        <v>118</v>
      </c>
      <c r="E40" s="37" t="n">
        <f aca="false">베이스!G9</f>
        <v>160000</v>
      </c>
      <c r="F40" s="8" t="s">
        <v>184</v>
      </c>
      <c r="G40" s="4"/>
    </row>
    <row r="41" customFormat="false" ht="15" hidden="false" customHeight="false" outlineLevel="0" collapsed="false">
      <c r="A41" s="8" t="s">
        <v>66</v>
      </c>
      <c r="B41" s="8" t="s">
        <v>185</v>
      </c>
      <c r="C41" s="4"/>
      <c r="D41" s="4" t="s">
        <v>118</v>
      </c>
      <c r="E41" s="37" t="n">
        <f aca="false">베이스!G10</f>
        <v>160000</v>
      </c>
      <c r="F41" s="10" t="s">
        <v>99</v>
      </c>
      <c r="G41" s="4"/>
    </row>
    <row r="42" customFormat="false" ht="15" hidden="false" customHeight="false" outlineLevel="0" collapsed="false">
      <c r="A42" s="8" t="s">
        <v>66</v>
      </c>
      <c r="B42" s="8" t="s">
        <v>186</v>
      </c>
      <c r="C42" s="8" t="s">
        <v>187</v>
      </c>
      <c r="D42" s="4" t="s">
        <v>118</v>
      </c>
      <c r="E42" s="37" t="n">
        <f aca="false">베이스!G11</f>
        <v>1000000</v>
      </c>
      <c r="F42" s="10" t="s">
        <v>99</v>
      </c>
      <c r="G42" s="4"/>
    </row>
    <row r="43" customFormat="false" ht="15" hidden="false" customHeight="false" outlineLevel="0" collapsed="false">
      <c r="A43" s="8" t="s">
        <v>66</v>
      </c>
      <c r="B43" s="8" t="s">
        <v>188</v>
      </c>
      <c r="C43" s="8" t="s">
        <v>189</v>
      </c>
      <c r="D43" s="4" t="s">
        <v>118</v>
      </c>
      <c r="E43" s="37" t="n">
        <f aca="false">베이스!G12</f>
        <v>500000</v>
      </c>
      <c r="F43" s="10" t="s">
        <v>99</v>
      </c>
      <c r="G43" s="4"/>
    </row>
    <row r="44" customFormat="false" ht="15" hidden="false" customHeight="false" outlineLevel="0" collapsed="false">
      <c r="A44" s="8" t="s">
        <v>66</v>
      </c>
      <c r="B44" s="8" t="s">
        <v>190</v>
      </c>
      <c r="C44" s="8" t="s">
        <v>191</v>
      </c>
      <c r="D44" s="4" t="s">
        <v>118</v>
      </c>
      <c r="E44" s="37" t="n">
        <f aca="false">베이스!G13</f>
        <v>420000</v>
      </c>
      <c r="F44" s="10" t="s">
        <v>99</v>
      </c>
      <c r="G44" s="4"/>
    </row>
    <row r="45" customFormat="false" ht="26.85" hidden="false" customHeight="false" outlineLevel="0" collapsed="false">
      <c r="A45" s="8" t="s">
        <v>66</v>
      </c>
      <c r="B45" s="8" t="s">
        <v>192</v>
      </c>
      <c r="C45" s="8" t="s">
        <v>193</v>
      </c>
      <c r="D45" s="4" t="s">
        <v>151</v>
      </c>
      <c r="E45" s="37" t="n">
        <f aca="false">베이스!G14</f>
        <v>1980000</v>
      </c>
      <c r="F45" s="10" t="s">
        <v>194</v>
      </c>
      <c r="G45" s="8" t="s">
        <v>152</v>
      </c>
    </row>
    <row r="46" customFormat="false" ht="26.85" hidden="false" customHeight="false" outlineLevel="0" collapsed="false">
      <c r="A46" s="8" t="s">
        <v>66</v>
      </c>
      <c r="B46" s="8" t="s">
        <v>144</v>
      </c>
      <c r="C46" s="8" t="s">
        <v>195</v>
      </c>
      <c r="D46" s="4" t="s">
        <v>196</v>
      </c>
      <c r="E46" s="37" t="n">
        <f aca="false">베이스!G15</f>
        <v>1260000</v>
      </c>
      <c r="F46" s="10" t="s">
        <v>194</v>
      </c>
      <c r="G46" s="8" t="s">
        <v>148</v>
      </c>
    </row>
    <row r="47" customFormat="false" ht="15" hidden="false" customHeight="false" outlineLevel="0" collapsed="false">
      <c r="A47" s="8" t="s">
        <v>66</v>
      </c>
      <c r="B47" s="8" t="s">
        <v>126</v>
      </c>
      <c r="C47" s="8" t="s">
        <v>197</v>
      </c>
      <c r="D47" s="4" t="s">
        <v>198</v>
      </c>
      <c r="E47" s="37" t="n">
        <f aca="false">베이스!G16</f>
        <v>570000</v>
      </c>
      <c r="F47" s="10" t="s">
        <v>194</v>
      </c>
      <c r="G47" s="8" t="s">
        <v>128</v>
      </c>
    </row>
    <row r="48" customFormat="false" ht="26.85" hidden="false" customHeight="false" outlineLevel="0" collapsed="false">
      <c r="A48" s="8" t="s">
        <v>66</v>
      </c>
      <c r="B48" s="8" t="s">
        <v>159</v>
      </c>
      <c r="C48" s="8" t="s">
        <v>199</v>
      </c>
      <c r="D48" s="4" t="s">
        <v>200</v>
      </c>
      <c r="E48" s="37" t="n">
        <f aca="false">베이스!G17</f>
        <v>690000</v>
      </c>
      <c r="F48" s="10" t="s">
        <v>162</v>
      </c>
      <c r="G48" s="8" t="s">
        <v>100</v>
      </c>
    </row>
    <row r="49" customFormat="false" ht="15" hidden="false" customHeight="false" outlineLevel="0" collapsed="false">
      <c r="A49" s="8" t="s">
        <v>66</v>
      </c>
      <c r="B49" s="8" t="s">
        <v>201</v>
      </c>
      <c r="C49" s="8" t="s">
        <v>202</v>
      </c>
      <c r="D49" s="4" t="s">
        <v>203</v>
      </c>
      <c r="E49" s="37" t="n">
        <f aca="false">베이스!G18</f>
        <v>600000</v>
      </c>
      <c r="F49" s="8" t="s">
        <v>107</v>
      </c>
      <c r="G49" s="4"/>
    </row>
    <row r="50" customFormat="false" ht="15" hidden="false" customHeight="false" outlineLevel="0" collapsed="false">
      <c r="A50" s="8" t="s">
        <v>66</v>
      </c>
      <c r="B50" s="8" t="s">
        <v>201</v>
      </c>
      <c r="C50" s="8" t="s">
        <v>204</v>
      </c>
      <c r="D50" s="4" t="s">
        <v>205</v>
      </c>
      <c r="E50" s="37" t="n">
        <f aca="false">베이스!G19</f>
        <v>300000</v>
      </c>
      <c r="F50" s="8" t="s">
        <v>206</v>
      </c>
      <c r="G50" s="4"/>
    </row>
    <row r="51" customFormat="false" ht="15" hidden="false" customHeight="false" outlineLevel="0" collapsed="false">
      <c r="A51" s="8" t="s">
        <v>66</v>
      </c>
      <c r="B51" s="4" t="s">
        <v>163</v>
      </c>
      <c r="C51" s="4" t="s">
        <v>164</v>
      </c>
      <c r="D51" s="4" t="s">
        <v>207</v>
      </c>
      <c r="E51" s="37" t="n">
        <f aca="false">베이스!G20</f>
        <v>1200000</v>
      </c>
      <c r="F51" s="8" t="s">
        <v>206</v>
      </c>
      <c r="G51" s="4"/>
    </row>
    <row r="52" customFormat="false" ht="15" hidden="false" customHeight="false" outlineLevel="0" collapsed="false">
      <c r="A52" s="8" t="s">
        <v>66</v>
      </c>
      <c r="B52" s="8" t="s">
        <v>208</v>
      </c>
      <c r="C52" s="8" t="s">
        <v>209</v>
      </c>
      <c r="D52" s="4" t="s">
        <v>118</v>
      </c>
      <c r="E52" s="37" t="n">
        <f aca="false">베이스!G21</f>
        <v>300000</v>
      </c>
      <c r="F52" s="10" t="s">
        <v>99</v>
      </c>
      <c r="G52" s="4"/>
    </row>
    <row r="53" customFormat="false" ht="26.1" hidden="false" customHeight="false" outlineLevel="0" collapsed="false">
      <c r="A53" s="8" t="s">
        <v>66</v>
      </c>
      <c r="B53" s="8" t="s">
        <v>134</v>
      </c>
      <c r="C53" s="8" t="s">
        <v>135</v>
      </c>
      <c r="D53" s="4" t="s">
        <v>210</v>
      </c>
      <c r="E53" s="37" t="n">
        <f aca="false">베이스!G22</f>
        <v>300000</v>
      </c>
      <c r="F53" s="10" t="s">
        <v>99</v>
      </c>
      <c r="G53" s="4"/>
    </row>
    <row r="54" customFormat="false" ht="15" hidden="false" customHeight="false" outlineLevel="0" collapsed="false">
      <c r="A54" s="8" t="s">
        <v>66</v>
      </c>
      <c r="B54" s="8" t="s">
        <v>137</v>
      </c>
      <c r="C54" s="8" t="s">
        <v>138</v>
      </c>
      <c r="D54" s="4" t="s">
        <v>211</v>
      </c>
      <c r="E54" s="37" t="n">
        <f aca="false">베이스!G23</f>
        <v>255000</v>
      </c>
      <c r="F54" s="10" t="s">
        <v>99</v>
      </c>
      <c r="G54" s="4"/>
    </row>
    <row r="55" customFormat="false" ht="26.85" hidden="false" customHeight="false" outlineLevel="0" collapsed="false">
      <c r="A55" s="20"/>
      <c r="B55" s="38" t="s">
        <v>140</v>
      </c>
      <c r="C55" s="20"/>
      <c r="D55" s="20"/>
      <c r="E55" s="39" t="n">
        <f aca="false">베이스!$G$34-SUM(베이스!$G$24:$G$26)</f>
        <v>2221300</v>
      </c>
      <c r="F55" s="40" t="s">
        <v>141</v>
      </c>
      <c r="G55" s="20"/>
    </row>
    <row r="56" customFormat="false" ht="15" hidden="false" customHeight="false" outlineLevel="0" collapsed="false">
      <c r="A56" s="20"/>
      <c r="B56" s="38" t="s">
        <v>142</v>
      </c>
      <c r="C56" s="20"/>
      <c r="D56" s="20"/>
      <c r="E56" s="39" t="n">
        <f aca="false">베이스!$G$34</f>
        <v>18910000</v>
      </c>
      <c r="F56" s="40" t="s">
        <v>212</v>
      </c>
      <c r="G56" s="20"/>
    </row>
    <row r="58" customFormat="false" ht="15" hidden="false" customHeight="false" outlineLevel="0" collapsed="false">
      <c r="A58" s="36" t="s">
        <v>213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216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70</v>
      </c>
      <c r="B8" s="17" t="s">
        <v>91</v>
      </c>
      <c r="C8" s="8" t="s">
        <v>92</v>
      </c>
      <c r="D8" s="17" t="s">
        <v>221</v>
      </c>
      <c r="E8" s="42" t="n">
        <v>21</v>
      </c>
      <c r="F8" s="42" t="n">
        <v>300000</v>
      </c>
      <c r="G8" s="33" t="n">
        <f aca="false">E8*F8</f>
        <v>6300000</v>
      </c>
      <c r="H8" s="4" t="s">
        <v>222</v>
      </c>
      <c r="I8" s="17" t="s">
        <v>70</v>
      </c>
    </row>
    <row r="9" customFormat="false" ht="19.5" hidden="false" customHeight="true" outlineLevel="0" collapsed="false">
      <c r="A9" s="17"/>
      <c r="B9" s="17" t="s">
        <v>96</v>
      </c>
      <c r="C9" s="8" t="s">
        <v>97</v>
      </c>
      <c r="D9" s="17" t="s">
        <v>221</v>
      </c>
      <c r="E9" s="42" t="n">
        <v>2</v>
      </c>
      <c r="F9" s="42" t="n">
        <v>260000</v>
      </c>
      <c r="G9" s="33" t="n">
        <f aca="false">E9*F9</f>
        <v>520000</v>
      </c>
      <c r="H9" s="4" t="s">
        <v>223</v>
      </c>
      <c r="I9" s="17" t="s">
        <v>70</v>
      </c>
    </row>
    <row r="10" customFormat="false" ht="19.5" hidden="false" customHeight="true" outlineLevel="0" collapsed="false">
      <c r="A10" s="17"/>
      <c r="B10" s="17" t="s">
        <v>101</v>
      </c>
      <c r="C10" s="8" t="s">
        <v>102</v>
      </c>
      <c r="D10" s="17" t="s">
        <v>221</v>
      </c>
      <c r="E10" s="42" t="n">
        <v>3</v>
      </c>
      <c r="F10" s="42" t="n">
        <v>320000</v>
      </c>
      <c r="G10" s="33" t="n">
        <f aca="false">E10*F10</f>
        <v>960000</v>
      </c>
      <c r="H10" s="4" t="s">
        <v>224</v>
      </c>
      <c r="I10" s="17" t="s">
        <v>70</v>
      </c>
    </row>
    <row r="11" customFormat="false" ht="19.5" hidden="false" customHeight="true" outlineLevel="0" collapsed="false">
      <c r="A11" s="17" t="s">
        <v>225</v>
      </c>
      <c r="B11" s="17" t="s">
        <v>104</v>
      </c>
      <c r="C11" s="4" t="s">
        <v>105</v>
      </c>
      <c r="D11" s="17" t="s">
        <v>226</v>
      </c>
      <c r="E11" s="42" t="n">
        <v>1</v>
      </c>
      <c r="F11" s="42" t="n">
        <v>2400000</v>
      </c>
      <c r="G11" s="33" t="n">
        <f aca="false">E11*F11</f>
        <v>2400000</v>
      </c>
      <c r="H11" s="8" t="s">
        <v>227</v>
      </c>
      <c r="I11" s="17" t="s">
        <v>71</v>
      </c>
    </row>
    <row r="12" customFormat="false" ht="19.5" hidden="false" customHeight="true" outlineLevel="0" collapsed="false">
      <c r="A12" s="17"/>
      <c r="B12" s="17" t="s">
        <v>104</v>
      </c>
      <c r="C12" s="4" t="s">
        <v>108</v>
      </c>
      <c r="D12" s="17" t="s">
        <v>226</v>
      </c>
      <c r="E12" s="42" t="n">
        <v>1</v>
      </c>
      <c r="F12" s="42" t="n">
        <v>1700000</v>
      </c>
      <c r="G12" s="33" t="n">
        <f aca="false">E12*F12</f>
        <v>1700000</v>
      </c>
      <c r="H12" s="8" t="s">
        <v>227</v>
      </c>
      <c r="I12" s="17" t="s">
        <v>71</v>
      </c>
    </row>
    <row r="13" customFormat="false" ht="19.5" hidden="false" customHeight="true" outlineLevel="0" collapsed="false">
      <c r="A13" s="17"/>
      <c r="B13" s="17" t="s">
        <v>110</v>
      </c>
      <c r="C13" s="4" t="s">
        <v>111</v>
      </c>
      <c r="D13" s="17" t="s">
        <v>40</v>
      </c>
      <c r="E13" s="42" t="n">
        <v>1</v>
      </c>
      <c r="F13" s="42" t="n">
        <v>640000</v>
      </c>
      <c r="G13" s="33" t="n">
        <f aca="false">E13*F13</f>
        <v>640000</v>
      </c>
      <c r="H13" s="8" t="s">
        <v>228</v>
      </c>
      <c r="I13" s="17" t="s">
        <v>71</v>
      </c>
    </row>
    <row r="14" customFormat="false" ht="19.5" hidden="false" customHeight="true" outlineLevel="0" collapsed="false">
      <c r="A14" s="17"/>
      <c r="B14" s="17" t="s">
        <v>113</v>
      </c>
      <c r="C14" s="8" t="s">
        <v>114</v>
      </c>
      <c r="D14" s="16" t="s">
        <v>229</v>
      </c>
      <c r="E14" s="42" t="n">
        <v>1</v>
      </c>
      <c r="F14" s="42" t="n">
        <v>2000000</v>
      </c>
      <c r="G14" s="33" t="n">
        <f aca="false">E14*F14</f>
        <v>2000000</v>
      </c>
      <c r="H14" s="8" t="s">
        <v>230</v>
      </c>
      <c r="I14" s="17" t="s">
        <v>71</v>
      </c>
    </row>
    <row r="15" customFormat="false" ht="19.5" hidden="false" customHeight="true" outlineLevel="0" collapsed="false">
      <c r="A15" s="17"/>
      <c r="B15" s="17" t="s">
        <v>116</v>
      </c>
      <c r="C15" s="8" t="s">
        <v>117</v>
      </c>
      <c r="D15" s="16" t="s">
        <v>229</v>
      </c>
      <c r="E15" s="42" t="n">
        <v>1</v>
      </c>
      <c r="F15" s="42" t="n">
        <v>3000000</v>
      </c>
      <c r="G15" s="33" t="n">
        <f aca="false">E15*F15</f>
        <v>3000000</v>
      </c>
      <c r="H15" s="4"/>
      <c r="I15" s="17" t="s">
        <v>71</v>
      </c>
    </row>
    <row r="16" customFormat="false" ht="19.5" hidden="false" customHeight="true" outlineLevel="0" collapsed="false">
      <c r="A16" s="17" t="s">
        <v>69</v>
      </c>
      <c r="B16" s="17" t="s">
        <v>120</v>
      </c>
      <c r="C16" s="8" t="s">
        <v>121</v>
      </c>
      <c r="D16" s="17" t="s">
        <v>40</v>
      </c>
      <c r="E16" s="42" t="n">
        <v>1</v>
      </c>
      <c r="F16" s="42" t="n">
        <v>1000000</v>
      </c>
      <c r="G16" s="33" t="n">
        <f aca="false">E16*F16</f>
        <v>1000000</v>
      </c>
      <c r="H16" s="4"/>
      <c r="I16" s="17" t="s">
        <v>69</v>
      </c>
    </row>
    <row r="17" customFormat="false" ht="19.5" hidden="false" customHeight="true" outlineLevel="0" collapsed="false">
      <c r="A17" s="17" t="s">
        <v>231</v>
      </c>
      <c r="B17" s="17" t="s">
        <v>122</v>
      </c>
      <c r="C17" s="8" t="s">
        <v>123</v>
      </c>
      <c r="D17" s="17" t="s">
        <v>232</v>
      </c>
      <c r="E17" s="42" t="n">
        <v>242</v>
      </c>
      <c r="F17" s="42" t="n">
        <v>3200</v>
      </c>
      <c r="G17" s="33" t="n">
        <f aca="false">E17*F17</f>
        <v>774400</v>
      </c>
      <c r="H17" s="4" t="s">
        <v>233</v>
      </c>
      <c r="I17" s="17" t="s">
        <v>71</v>
      </c>
    </row>
    <row r="18" customFormat="false" ht="19.5" hidden="false" customHeight="true" outlineLevel="0" collapsed="false">
      <c r="A18" s="17"/>
      <c r="B18" s="17" t="s">
        <v>125</v>
      </c>
      <c r="C18" s="8" t="s">
        <v>126</v>
      </c>
      <c r="D18" s="17" t="s">
        <v>221</v>
      </c>
      <c r="E18" s="42" t="n">
        <v>2</v>
      </c>
      <c r="F18" s="42" t="n">
        <v>190000</v>
      </c>
      <c r="G18" s="33" t="n">
        <f aca="false">E18*F18</f>
        <v>380000</v>
      </c>
      <c r="H18" s="8" t="s">
        <v>234</v>
      </c>
      <c r="I18" s="17" t="s">
        <v>70</v>
      </c>
    </row>
    <row r="19" customFormat="false" ht="19.5" hidden="false" customHeight="true" outlineLevel="0" collapsed="false">
      <c r="A19" s="17"/>
      <c r="B19" s="17" t="s">
        <v>129</v>
      </c>
      <c r="C19" s="4" t="s">
        <v>130</v>
      </c>
      <c r="D19" s="17" t="s">
        <v>235</v>
      </c>
      <c r="E19" s="42" t="n">
        <v>2</v>
      </c>
      <c r="F19" s="42" t="n">
        <v>260000</v>
      </c>
      <c r="G19" s="33" t="n">
        <f aca="false">E19*F19</f>
        <v>520000</v>
      </c>
      <c r="H19" s="8" t="s">
        <v>236</v>
      </c>
      <c r="I19" s="17" t="s">
        <v>71</v>
      </c>
    </row>
    <row r="20" customFormat="false" ht="19.5" hidden="false" customHeight="true" outlineLevel="0" collapsed="false">
      <c r="A20" s="17"/>
      <c r="B20" s="17" t="s">
        <v>132</v>
      </c>
      <c r="C20" s="8" t="s">
        <v>133</v>
      </c>
      <c r="D20" s="17" t="s">
        <v>40</v>
      </c>
      <c r="E20" s="42" t="n">
        <v>1</v>
      </c>
      <c r="F20" s="42" t="n">
        <v>380000</v>
      </c>
      <c r="G20" s="33" t="n">
        <f aca="false">E20*F20</f>
        <v>380000</v>
      </c>
      <c r="H20" s="4"/>
      <c r="I20" s="17" t="s">
        <v>69</v>
      </c>
    </row>
    <row r="21" customFormat="false" ht="19.5" hidden="false" customHeight="true" outlineLevel="0" collapsed="false">
      <c r="A21" s="17" t="s">
        <v>71</v>
      </c>
      <c r="B21" s="17" t="s">
        <v>134</v>
      </c>
      <c r="C21" s="8" t="s">
        <v>135</v>
      </c>
      <c r="D21" s="17" t="s">
        <v>221</v>
      </c>
      <c r="E21" s="42" t="n">
        <v>28</v>
      </c>
      <c r="F21" s="42" t="n">
        <v>20000</v>
      </c>
      <c r="G21" s="33" t="n">
        <f aca="false">E21*F21</f>
        <v>560000</v>
      </c>
      <c r="H21" s="8" t="s">
        <v>237</v>
      </c>
      <c r="I21" s="17" t="s">
        <v>71</v>
      </c>
    </row>
    <row r="22" customFormat="false" ht="19.5" hidden="false" customHeight="true" outlineLevel="0" collapsed="false">
      <c r="A22" s="17"/>
      <c r="B22" s="17" t="s">
        <v>137</v>
      </c>
      <c r="C22" s="8" t="s">
        <v>138</v>
      </c>
      <c r="D22" s="17" t="s">
        <v>226</v>
      </c>
      <c r="E22" s="42" t="n">
        <v>6</v>
      </c>
      <c r="F22" s="42" t="n">
        <v>85000</v>
      </c>
      <c r="G22" s="33" t="n">
        <f aca="false">E22*F22</f>
        <v>510000</v>
      </c>
      <c r="H22" s="4" t="s">
        <v>238</v>
      </c>
      <c r="I22" s="17" t="s">
        <v>71</v>
      </c>
    </row>
    <row r="23" customFormat="false" ht="19.5" hidden="false" customHeight="true" outlineLevel="0" collapsed="false">
      <c r="A23" s="43" t="s">
        <v>239</v>
      </c>
      <c r="B23" s="43"/>
      <c r="C23" s="43"/>
      <c r="D23" s="43"/>
      <c r="E23" s="43"/>
      <c r="F23" s="43"/>
      <c r="G23" s="44" t="n">
        <f aca="false">SUMIF($I$8:$I$22,"재료비",$G$8:$G$22)</f>
        <v>1380000</v>
      </c>
      <c r="H23" s="20"/>
      <c r="I23" s="20"/>
    </row>
    <row r="24" customFormat="false" ht="19.5" hidden="false" customHeight="true" outlineLevel="0" collapsed="false">
      <c r="A24" s="43" t="s">
        <v>240</v>
      </c>
      <c r="B24" s="43"/>
      <c r="C24" s="43"/>
      <c r="D24" s="43"/>
      <c r="E24" s="43"/>
      <c r="F24" s="43"/>
      <c r="G24" s="44" t="n">
        <f aca="false">SUMIF($I$8:$I$22,"노무비",$G$8:$G$22)</f>
        <v>8160000</v>
      </c>
      <c r="H24" s="20"/>
      <c r="I24" s="20"/>
    </row>
    <row r="25" customFormat="false" ht="19.5" hidden="false" customHeight="true" outlineLevel="0" collapsed="false">
      <c r="A25" s="43" t="s">
        <v>241</v>
      </c>
      <c r="B25" s="43"/>
      <c r="C25" s="43"/>
      <c r="D25" s="43"/>
      <c r="E25" s="43"/>
      <c r="F25" s="43"/>
      <c r="G25" s="44" t="n">
        <f aca="false">SUMIF($I$8:$I$22,"경비",$G$8:$G$22)</f>
        <v>12104400</v>
      </c>
      <c r="H25" s="20"/>
      <c r="I25" s="20"/>
    </row>
    <row r="26" customFormat="false" ht="19.5" hidden="false" customHeight="true" outlineLevel="0" collapsed="false">
      <c r="A26" s="43" t="s">
        <v>72</v>
      </c>
      <c r="B26" s="43"/>
      <c r="C26" s="43"/>
      <c r="D26" s="43"/>
      <c r="E26" s="43"/>
      <c r="F26" s="43"/>
      <c r="G26" s="44" t="n">
        <f aca="false">G24*요율근거!$C$5</f>
        <v>290496</v>
      </c>
      <c r="H26" s="40" t="s">
        <v>242</v>
      </c>
      <c r="I26" s="40"/>
    </row>
    <row r="27" customFormat="false" ht="19.5" hidden="false" customHeight="true" outlineLevel="0" collapsed="false">
      <c r="A27" s="43" t="s">
        <v>73</v>
      </c>
      <c r="B27" s="43"/>
      <c r="C27" s="43"/>
      <c r="D27" s="43"/>
      <c r="E27" s="43"/>
      <c r="F27" s="43"/>
      <c r="G27" s="44" t="n">
        <f aca="false">G24*요율근거!$C$6</f>
        <v>93840</v>
      </c>
      <c r="H27" s="40" t="s">
        <v>243</v>
      </c>
      <c r="I27" s="40"/>
    </row>
    <row r="28" customFormat="false" ht="19.5" hidden="false" customHeight="true" outlineLevel="0" collapsed="false">
      <c r="A28" s="43" t="s">
        <v>74</v>
      </c>
      <c r="B28" s="43"/>
      <c r="C28" s="43"/>
      <c r="D28" s="43"/>
      <c r="E28" s="43"/>
      <c r="F28" s="43"/>
      <c r="G28" s="44" t="n">
        <f aca="false">(G23+G24)*요율근거!$C$7</f>
        <v>296694</v>
      </c>
      <c r="H28" s="20" t="s">
        <v>244</v>
      </c>
      <c r="I28" s="20"/>
    </row>
    <row r="29" customFormat="false" ht="19.5" hidden="false" customHeight="true" outlineLevel="0" collapsed="false">
      <c r="A29" s="3" t="s">
        <v>75</v>
      </c>
      <c r="B29" s="3"/>
      <c r="C29" s="3"/>
      <c r="D29" s="3"/>
      <c r="E29" s="3"/>
      <c r="F29" s="3"/>
      <c r="G29" s="19" t="n">
        <f aca="false">SUM(G23:G28)</f>
        <v>22325430</v>
      </c>
      <c r="H29" s="20"/>
      <c r="I29" s="20"/>
    </row>
    <row r="30" customFormat="false" ht="19.5" hidden="false" customHeight="true" outlineLevel="0" collapsed="false">
      <c r="A30" s="43" t="s">
        <v>76</v>
      </c>
      <c r="B30" s="43"/>
      <c r="C30" s="43"/>
      <c r="D30" s="43"/>
      <c r="E30" s="43"/>
      <c r="F30" s="43"/>
      <c r="G30" s="44" t="n">
        <f aca="false">G29*요율근거!$C$8</f>
        <v>1116271.5</v>
      </c>
      <c r="H30" s="40" t="s">
        <v>245</v>
      </c>
      <c r="I30" s="40"/>
    </row>
    <row r="31" customFormat="false" ht="19.5" hidden="false" customHeight="true" outlineLevel="0" collapsed="false">
      <c r="A31" s="43" t="s">
        <v>77</v>
      </c>
      <c r="B31" s="43"/>
      <c r="C31" s="43"/>
      <c r="D31" s="43"/>
      <c r="E31" s="43"/>
      <c r="F31" s="43"/>
      <c r="G31" s="44" t="n">
        <f aca="false">(G24+G25+G26+G27+G28+G30)*요율근거!$C$9</f>
        <v>1764936.12</v>
      </c>
      <c r="H31" s="20" t="s">
        <v>246</v>
      </c>
      <c r="I31" s="20"/>
    </row>
    <row r="32" customFormat="false" ht="19.5" hidden="false" customHeight="true" outlineLevel="0" collapsed="false">
      <c r="A32" s="43" t="s">
        <v>78</v>
      </c>
      <c r="B32" s="43"/>
      <c r="C32" s="43"/>
      <c r="D32" s="43"/>
      <c r="E32" s="43"/>
      <c r="F32" s="43"/>
      <c r="G32" s="44" t="n">
        <f aca="false">-MOD(G29+G30+G31,1000)</f>
        <v>-637.620000001043</v>
      </c>
      <c r="H32" s="40" t="s">
        <v>247</v>
      </c>
      <c r="I32" s="40"/>
    </row>
    <row r="33" customFormat="false" ht="19.5" hidden="false" customHeight="true" outlineLevel="0" collapsed="false">
      <c r="A33" s="45" t="s">
        <v>142</v>
      </c>
      <c r="B33" s="45"/>
      <c r="C33" s="45"/>
      <c r="D33" s="45"/>
      <c r="E33" s="45"/>
      <c r="F33" s="45"/>
      <c r="G33" s="46" t="n">
        <f aca="false">G29+G30+G31+G32</f>
        <v>25206000</v>
      </c>
      <c r="H33" s="10" t="s">
        <v>248</v>
      </c>
      <c r="I33" s="10"/>
    </row>
    <row r="35" customFormat="false" ht="13.4" hidden="false" customHeight="false" outlineLevel="0" collapsed="false">
      <c r="A35" s="47" t="s">
        <v>249</v>
      </c>
      <c r="B35" s="47"/>
      <c r="C35" s="47"/>
      <c r="D35" s="47"/>
      <c r="E35" s="47"/>
      <c r="F35" s="47"/>
      <c r="G35" s="47"/>
      <c r="H35" s="47"/>
      <c r="I35" s="47"/>
    </row>
    <row r="36" customFormat="false" ht="13.4" hidden="false" customHeight="false" outlineLevel="0" collapsed="false">
      <c r="A36" s="48" t="s">
        <v>250</v>
      </c>
      <c r="B36" s="48"/>
      <c r="C36" s="48"/>
      <c r="D36" s="48"/>
      <c r="E36" s="48"/>
      <c r="F36" s="48"/>
      <c r="G36" s="48"/>
      <c r="H36" s="48"/>
      <c r="I36" s="48"/>
    </row>
  </sheetData>
  <mergeCells count="31">
    <mergeCell ref="A1:I2"/>
    <mergeCell ref="A3:I3"/>
    <mergeCell ref="A5:I5"/>
    <mergeCell ref="A8:A10"/>
    <mergeCell ref="A11:A15"/>
    <mergeCell ref="A17:A20"/>
    <mergeCell ref="A21:A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251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70</v>
      </c>
      <c r="B8" s="17" t="s">
        <v>144</v>
      </c>
      <c r="C8" s="4" t="s">
        <v>145</v>
      </c>
      <c r="D8" s="17" t="s">
        <v>221</v>
      </c>
      <c r="E8" s="42" t="n">
        <v>9</v>
      </c>
      <c r="F8" s="42" t="n">
        <v>420000</v>
      </c>
      <c r="G8" s="33" t="n">
        <f aca="false">E8*F8</f>
        <v>3780000</v>
      </c>
      <c r="H8" s="4" t="s">
        <v>252</v>
      </c>
      <c r="I8" s="17" t="s">
        <v>70</v>
      </c>
    </row>
    <row r="9" customFormat="false" ht="19.5" hidden="false" customHeight="true" outlineLevel="0" collapsed="false">
      <c r="A9" s="17"/>
      <c r="B9" s="17" t="s">
        <v>149</v>
      </c>
      <c r="C9" s="8" t="s">
        <v>150</v>
      </c>
      <c r="D9" s="17" t="s">
        <v>221</v>
      </c>
      <c r="E9" s="42" t="n">
        <v>6</v>
      </c>
      <c r="F9" s="42" t="n">
        <v>330000</v>
      </c>
      <c r="G9" s="33" t="n">
        <f aca="false">E9*F9</f>
        <v>1980000</v>
      </c>
      <c r="H9" s="4" t="s">
        <v>253</v>
      </c>
      <c r="I9" s="17" t="s">
        <v>70</v>
      </c>
    </row>
    <row r="10" customFormat="false" ht="19.5" hidden="false" customHeight="true" outlineLevel="0" collapsed="false">
      <c r="A10" s="17"/>
      <c r="B10" s="17" t="s">
        <v>153</v>
      </c>
      <c r="C10" s="8" t="s">
        <v>154</v>
      </c>
      <c r="D10" s="17" t="s">
        <v>221</v>
      </c>
      <c r="E10" s="42" t="n">
        <v>4</v>
      </c>
      <c r="F10" s="42" t="n">
        <v>260000</v>
      </c>
      <c r="G10" s="33" t="n">
        <f aca="false">E10*F10</f>
        <v>1040000</v>
      </c>
      <c r="H10" s="4" t="s">
        <v>254</v>
      </c>
      <c r="I10" s="17" t="s">
        <v>70</v>
      </c>
    </row>
    <row r="11" customFormat="false" ht="19.5" hidden="false" customHeight="true" outlineLevel="0" collapsed="false">
      <c r="A11" s="17"/>
      <c r="B11" s="17" t="s">
        <v>126</v>
      </c>
      <c r="C11" s="8" t="s">
        <v>157</v>
      </c>
      <c r="D11" s="17" t="s">
        <v>221</v>
      </c>
      <c r="E11" s="42" t="n">
        <v>4</v>
      </c>
      <c r="F11" s="42" t="n">
        <v>190000</v>
      </c>
      <c r="G11" s="33" t="n">
        <f aca="false">E11*F11</f>
        <v>760000</v>
      </c>
      <c r="H11" s="4" t="s">
        <v>254</v>
      </c>
      <c r="I11" s="17" t="s">
        <v>70</v>
      </c>
    </row>
    <row r="12" customFormat="false" ht="19.5" hidden="false" customHeight="true" outlineLevel="0" collapsed="false">
      <c r="A12" s="17"/>
      <c r="B12" s="17" t="s">
        <v>159</v>
      </c>
      <c r="C12" s="8" t="s">
        <v>160</v>
      </c>
      <c r="D12" s="17" t="s">
        <v>221</v>
      </c>
      <c r="E12" s="42" t="n">
        <v>5</v>
      </c>
      <c r="F12" s="42" t="n">
        <v>230000</v>
      </c>
      <c r="G12" s="33" t="n">
        <f aca="false">E12*F12</f>
        <v>1150000</v>
      </c>
      <c r="H12" s="4" t="s">
        <v>255</v>
      </c>
      <c r="I12" s="17" t="s">
        <v>70</v>
      </c>
    </row>
    <row r="13" customFormat="false" ht="19.5" hidden="false" customHeight="true" outlineLevel="0" collapsed="false">
      <c r="A13" s="17" t="s">
        <v>225</v>
      </c>
      <c r="B13" s="16" t="s">
        <v>163</v>
      </c>
      <c r="C13" s="4" t="s">
        <v>164</v>
      </c>
      <c r="D13" s="17" t="s">
        <v>226</v>
      </c>
      <c r="E13" s="42" t="n">
        <v>9</v>
      </c>
      <c r="F13" s="42" t="n">
        <v>400000</v>
      </c>
      <c r="G13" s="33" t="n">
        <f aca="false">E13*F13</f>
        <v>3600000</v>
      </c>
      <c r="H13" s="4" t="s">
        <v>256</v>
      </c>
      <c r="I13" s="17" t="s">
        <v>71</v>
      </c>
    </row>
    <row r="14" customFormat="false" ht="19.5" hidden="false" customHeight="true" outlineLevel="0" collapsed="false">
      <c r="A14" s="17"/>
      <c r="B14" s="17" t="s">
        <v>166</v>
      </c>
      <c r="C14" s="8" t="s">
        <v>167</v>
      </c>
      <c r="D14" s="16" t="s">
        <v>229</v>
      </c>
      <c r="E14" s="42" t="n">
        <v>1</v>
      </c>
      <c r="F14" s="42" t="n">
        <v>800000</v>
      </c>
      <c r="G14" s="33" t="n">
        <f aca="false">E14*F14</f>
        <v>800000</v>
      </c>
      <c r="H14" s="4"/>
      <c r="I14" s="17" t="s">
        <v>71</v>
      </c>
    </row>
    <row r="15" customFormat="false" ht="19.5" hidden="false" customHeight="true" outlineLevel="0" collapsed="false">
      <c r="A15" s="17"/>
      <c r="B15" s="17" t="s">
        <v>168</v>
      </c>
      <c r="C15" s="8" t="s">
        <v>169</v>
      </c>
      <c r="D15" s="17" t="s">
        <v>40</v>
      </c>
      <c r="E15" s="42" t="n">
        <v>1</v>
      </c>
      <c r="F15" s="42" t="n">
        <v>680000</v>
      </c>
      <c r="G15" s="33" t="n">
        <f aca="false">E15*F15</f>
        <v>680000</v>
      </c>
      <c r="H15" s="4"/>
      <c r="I15" s="17" t="s">
        <v>71</v>
      </c>
    </row>
    <row r="16" customFormat="false" ht="19.5" hidden="false" customHeight="true" outlineLevel="0" collapsed="false">
      <c r="A16" s="17"/>
      <c r="B16" s="17" t="s">
        <v>170</v>
      </c>
      <c r="C16" s="8" t="s">
        <v>171</v>
      </c>
      <c r="D16" s="17" t="s">
        <v>40</v>
      </c>
      <c r="E16" s="42" t="n">
        <v>1</v>
      </c>
      <c r="F16" s="42" t="n">
        <v>560000</v>
      </c>
      <c r="G16" s="33" t="n">
        <f aca="false">E16*F16</f>
        <v>560000</v>
      </c>
      <c r="H16" s="8" t="s">
        <v>257</v>
      </c>
      <c r="I16" s="17" t="s">
        <v>71</v>
      </c>
    </row>
    <row r="17" customFormat="false" ht="19.5" hidden="false" customHeight="true" outlineLevel="0" collapsed="false">
      <c r="A17" s="17" t="s">
        <v>69</v>
      </c>
      <c r="B17" s="17" t="s">
        <v>172</v>
      </c>
      <c r="C17" s="4" t="s">
        <v>173</v>
      </c>
      <c r="D17" s="17" t="s">
        <v>40</v>
      </c>
      <c r="E17" s="42" t="n">
        <v>1</v>
      </c>
      <c r="F17" s="42" t="n">
        <v>3000000</v>
      </c>
      <c r="G17" s="33" t="n">
        <f aca="false">E17*F17</f>
        <v>3000000</v>
      </c>
      <c r="H17" s="4"/>
      <c r="I17" s="17" t="s">
        <v>69</v>
      </c>
    </row>
    <row r="18" customFormat="false" ht="19.5" hidden="false" customHeight="true" outlineLevel="0" collapsed="false">
      <c r="A18" s="17" t="s">
        <v>258</v>
      </c>
      <c r="B18" s="17" t="s">
        <v>174</v>
      </c>
      <c r="C18" s="4" t="s">
        <v>175</v>
      </c>
      <c r="D18" s="17" t="s">
        <v>40</v>
      </c>
      <c r="E18" s="42" t="n">
        <v>1</v>
      </c>
      <c r="F18" s="42" t="n">
        <v>2500000</v>
      </c>
      <c r="G18" s="33" t="n">
        <f aca="false">E18*F18</f>
        <v>2500000</v>
      </c>
      <c r="H18" s="8" t="s">
        <v>259</v>
      </c>
      <c r="I18" s="17" t="s">
        <v>71</v>
      </c>
    </row>
    <row r="19" customFormat="false" ht="19.5" hidden="false" customHeight="true" outlineLevel="0" collapsed="false">
      <c r="A19" s="17" t="s">
        <v>71</v>
      </c>
      <c r="B19" s="17" t="s">
        <v>134</v>
      </c>
      <c r="C19" s="8" t="s">
        <v>135</v>
      </c>
      <c r="D19" s="17" t="s">
        <v>221</v>
      </c>
      <c r="E19" s="42" t="n">
        <v>28</v>
      </c>
      <c r="F19" s="42" t="n">
        <v>20000</v>
      </c>
      <c r="G19" s="33" t="n">
        <f aca="false">E19*F19</f>
        <v>560000</v>
      </c>
      <c r="H19" s="8" t="s">
        <v>260</v>
      </c>
      <c r="I19" s="17" t="s">
        <v>71</v>
      </c>
    </row>
    <row r="20" customFormat="false" ht="19.5" hidden="false" customHeight="true" outlineLevel="0" collapsed="false">
      <c r="A20" s="17"/>
      <c r="B20" s="17" t="s">
        <v>137</v>
      </c>
      <c r="C20" s="8" t="s">
        <v>138</v>
      </c>
      <c r="D20" s="17" t="s">
        <v>226</v>
      </c>
      <c r="E20" s="42" t="n">
        <v>10</v>
      </c>
      <c r="F20" s="42" t="n">
        <v>85000</v>
      </c>
      <c r="G20" s="33" t="n">
        <f aca="false">E20*F20</f>
        <v>850000</v>
      </c>
      <c r="H20" s="4" t="s">
        <v>261</v>
      </c>
      <c r="I20" s="17" t="s">
        <v>71</v>
      </c>
    </row>
    <row r="21" customFormat="false" ht="19.5" hidden="false" customHeight="true" outlineLevel="0" collapsed="false">
      <c r="A21" s="43" t="s">
        <v>239</v>
      </c>
      <c r="B21" s="43"/>
      <c r="C21" s="43"/>
      <c r="D21" s="43"/>
      <c r="E21" s="43"/>
      <c r="F21" s="43"/>
      <c r="G21" s="44" t="n">
        <f aca="false">SUMIF($I$8:$I$20,"재료비",$G$8:$G$20)</f>
        <v>3000000</v>
      </c>
      <c r="H21" s="20"/>
      <c r="I21" s="20"/>
    </row>
    <row r="22" customFormat="false" ht="19.5" hidden="false" customHeight="true" outlineLevel="0" collapsed="false">
      <c r="A22" s="43" t="s">
        <v>240</v>
      </c>
      <c r="B22" s="43"/>
      <c r="C22" s="43"/>
      <c r="D22" s="43"/>
      <c r="E22" s="43"/>
      <c r="F22" s="43"/>
      <c r="G22" s="44" t="n">
        <f aca="false">SUMIF($I$8:$I$20,"노무비",$G$8:$G$20)</f>
        <v>8710000</v>
      </c>
      <c r="H22" s="20"/>
      <c r="I22" s="20"/>
    </row>
    <row r="23" customFormat="false" ht="19.5" hidden="false" customHeight="true" outlineLevel="0" collapsed="false">
      <c r="A23" s="43" t="s">
        <v>241</v>
      </c>
      <c r="B23" s="43"/>
      <c r="C23" s="43"/>
      <c r="D23" s="43"/>
      <c r="E23" s="43"/>
      <c r="F23" s="43"/>
      <c r="G23" s="44" t="n">
        <f aca="false">SUMIF($I$8:$I$20,"경비",$G$8:$G$20)</f>
        <v>9550000</v>
      </c>
      <c r="H23" s="20"/>
      <c r="I23" s="20"/>
    </row>
    <row r="24" customFormat="false" ht="19.5" hidden="false" customHeight="true" outlineLevel="0" collapsed="false">
      <c r="A24" s="43" t="s">
        <v>72</v>
      </c>
      <c r="B24" s="43"/>
      <c r="C24" s="43"/>
      <c r="D24" s="43"/>
      <c r="E24" s="43"/>
      <c r="F24" s="43"/>
      <c r="G24" s="44" t="n">
        <f aca="false">G22*요율근거!$C$5</f>
        <v>310076</v>
      </c>
      <c r="H24" s="40" t="s">
        <v>242</v>
      </c>
      <c r="I24" s="40"/>
    </row>
    <row r="25" customFormat="false" ht="19.5" hidden="false" customHeight="true" outlineLevel="0" collapsed="false">
      <c r="A25" s="43" t="s">
        <v>73</v>
      </c>
      <c r="B25" s="43"/>
      <c r="C25" s="43"/>
      <c r="D25" s="43"/>
      <c r="E25" s="43"/>
      <c r="F25" s="43"/>
      <c r="G25" s="44" t="n">
        <f aca="false">G22*요율근거!$C$6</f>
        <v>100165</v>
      </c>
      <c r="H25" s="40" t="s">
        <v>243</v>
      </c>
      <c r="I25" s="40"/>
    </row>
    <row r="26" customFormat="false" ht="19.5" hidden="false" customHeight="true" outlineLevel="0" collapsed="false">
      <c r="A26" s="43" t="s">
        <v>74</v>
      </c>
      <c r="B26" s="43"/>
      <c r="C26" s="43"/>
      <c r="D26" s="43"/>
      <c r="E26" s="43"/>
      <c r="F26" s="43"/>
      <c r="G26" s="44" t="n">
        <f aca="false">(G21+G22)*요율근거!$C$7</f>
        <v>364181</v>
      </c>
      <c r="H26" s="20" t="s">
        <v>244</v>
      </c>
      <c r="I26" s="20"/>
    </row>
    <row r="27" customFormat="false" ht="19.5" hidden="false" customHeight="true" outlineLevel="0" collapsed="false">
      <c r="A27" s="3" t="s">
        <v>75</v>
      </c>
      <c r="B27" s="3"/>
      <c r="C27" s="3"/>
      <c r="D27" s="3"/>
      <c r="E27" s="3"/>
      <c r="F27" s="3"/>
      <c r="G27" s="19" t="n">
        <f aca="false">SUM(G21:G26)</f>
        <v>22034422</v>
      </c>
      <c r="H27" s="20"/>
      <c r="I27" s="20"/>
    </row>
    <row r="28" customFormat="false" ht="19.5" hidden="false" customHeight="true" outlineLevel="0" collapsed="false">
      <c r="A28" s="43" t="s">
        <v>76</v>
      </c>
      <c r="B28" s="43"/>
      <c r="C28" s="43"/>
      <c r="D28" s="43"/>
      <c r="E28" s="43"/>
      <c r="F28" s="43"/>
      <c r="G28" s="44" t="n">
        <f aca="false">G27*요율근거!$C$8</f>
        <v>1101721.1</v>
      </c>
      <c r="H28" s="40" t="s">
        <v>245</v>
      </c>
      <c r="I28" s="40"/>
    </row>
    <row r="29" customFormat="false" ht="19.5" hidden="false" customHeight="true" outlineLevel="0" collapsed="false">
      <c r="A29" s="43" t="s">
        <v>77</v>
      </c>
      <c r="B29" s="43"/>
      <c r="C29" s="43"/>
      <c r="D29" s="43"/>
      <c r="E29" s="43"/>
      <c r="F29" s="43"/>
      <c r="G29" s="44" t="n">
        <f aca="false">(G22+G23+G24+G25+G26+G28)*요율근거!$C$10</f>
        <v>1610891.448</v>
      </c>
      <c r="H29" s="20" t="s">
        <v>246</v>
      </c>
      <c r="I29" s="20"/>
    </row>
    <row r="30" customFormat="false" ht="19.5" hidden="false" customHeight="true" outlineLevel="0" collapsed="false">
      <c r="A30" s="43" t="s">
        <v>78</v>
      </c>
      <c r="B30" s="43"/>
      <c r="C30" s="43"/>
      <c r="D30" s="43"/>
      <c r="E30" s="43"/>
      <c r="F30" s="43"/>
      <c r="G30" s="44" t="n">
        <f aca="false">-MOD(G27+G28+G29,1000)</f>
        <v>-34.5480000004172</v>
      </c>
      <c r="H30" s="40" t="s">
        <v>247</v>
      </c>
      <c r="I30" s="40"/>
    </row>
    <row r="31" customFormat="false" ht="19.5" hidden="false" customHeight="true" outlineLevel="0" collapsed="false">
      <c r="A31" s="45" t="s">
        <v>142</v>
      </c>
      <c r="B31" s="45"/>
      <c r="C31" s="45"/>
      <c r="D31" s="45"/>
      <c r="E31" s="45"/>
      <c r="F31" s="45"/>
      <c r="G31" s="46" t="n">
        <f aca="false">G27+G28+G29+G30</f>
        <v>24747000</v>
      </c>
      <c r="H31" s="10" t="s">
        <v>248</v>
      </c>
      <c r="I31" s="10"/>
    </row>
    <row r="33" customFormat="false" ht="13.4" hidden="false" customHeight="false" outlineLevel="0" collapsed="false">
      <c r="A33" s="47" t="s">
        <v>249</v>
      </c>
      <c r="B33" s="47"/>
      <c r="C33" s="47"/>
      <c r="D33" s="47"/>
      <c r="E33" s="47"/>
      <c r="F33" s="47"/>
      <c r="G33" s="47"/>
      <c r="H33" s="47"/>
      <c r="I33" s="47"/>
    </row>
    <row r="34" customFormat="false" ht="13.4" hidden="false" customHeight="false" outlineLevel="0" collapsed="false">
      <c r="A34" s="48" t="s">
        <v>250</v>
      </c>
      <c r="B34" s="48"/>
      <c r="C34" s="48"/>
      <c r="D34" s="48"/>
      <c r="E34" s="48"/>
      <c r="F34" s="48"/>
      <c r="G34" s="48"/>
      <c r="H34" s="48"/>
      <c r="I34" s="48"/>
    </row>
  </sheetData>
  <mergeCells count="30">
    <mergeCell ref="A1:I2"/>
    <mergeCell ref="A3:I3"/>
    <mergeCell ref="A5:I5"/>
    <mergeCell ref="A8:A12"/>
    <mergeCell ref="A13:A16"/>
    <mergeCell ref="A19:A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3:I33"/>
    <mergeCell ref="A34:I34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6" t="s">
        <v>214</v>
      </c>
      <c r="B1" s="26"/>
      <c r="C1" s="26"/>
      <c r="D1" s="26"/>
      <c r="E1" s="26"/>
      <c r="F1" s="26"/>
      <c r="G1" s="26"/>
      <c r="H1" s="26"/>
      <c r="I1" s="26"/>
    </row>
    <row r="2" customFormat="false" ht="15" hidden="false" customHeight="false" outlineLevel="0" collapsed="false">
      <c r="A2" s="26"/>
      <c r="B2" s="26"/>
      <c r="C2" s="26"/>
      <c r="D2" s="26"/>
      <c r="E2" s="26"/>
      <c r="F2" s="26"/>
      <c r="G2" s="26"/>
      <c r="H2" s="26"/>
      <c r="I2" s="26"/>
    </row>
    <row r="3" customFormat="false" ht="15" hidden="false" customHeight="true" outlineLevel="0" collapsed="false">
      <c r="A3" s="27" t="s">
        <v>215</v>
      </c>
      <c r="B3" s="27"/>
      <c r="C3" s="27"/>
      <c r="D3" s="27"/>
      <c r="E3" s="27"/>
      <c r="F3" s="27"/>
      <c r="G3" s="27"/>
      <c r="H3" s="27"/>
      <c r="I3" s="27"/>
    </row>
    <row r="5" customFormat="false" ht="15" hidden="false" customHeight="true" outlineLevel="0" collapsed="false">
      <c r="A5" s="41" t="s">
        <v>262</v>
      </c>
      <c r="B5" s="41"/>
      <c r="C5" s="41"/>
      <c r="D5" s="41"/>
      <c r="E5" s="41"/>
      <c r="F5" s="41"/>
      <c r="G5" s="41"/>
      <c r="H5" s="41"/>
      <c r="I5" s="41"/>
    </row>
    <row r="7" customFormat="false" ht="15" hidden="false" customHeight="false" outlineLevel="0" collapsed="false">
      <c r="A7" s="15" t="s">
        <v>217</v>
      </c>
      <c r="B7" s="15" t="s">
        <v>85</v>
      </c>
      <c r="C7" s="15" t="s">
        <v>86</v>
      </c>
      <c r="D7" s="15" t="s">
        <v>34</v>
      </c>
      <c r="E7" s="15" t="s">
        <v>218</v>
      </c>
      <c r="F7" s="15" t="s">
        <v>219</v>
      </c>
      <c r="G7" s="15" t="s">
        <v>220</v>
      </c>
      <c r="H7" s="15" t="s">
        <v>36</v>
      </c>
      <c r="I7" s="15" t="s">
        <v>63</v>
      </c>
    </row>
    <row r="8" customFormat="false" ht="19.5" hidden="false" customHeight="true" outlineLevel="0" collapsed="false">
      <c r="A8" s="17" t="s">
        <v>69</v>
      </c>
      <c r="B8" s="16" t="s">
        <v>179</v>
      </c>
      <c r="C8" s="4" t="s">
        <v>180</v>
      </c>
      <c r="D8" s="16" t="s">
        <v>263</v>
      </c>
      <c r="E8" s="42" t="n">
        <v>9991</v>
      </c>
      <c r="F8" s="42" t="n">
        <v>700</v>
      </c>
      <c r="G8" s="33" t="n">
        <f aca="false">E8*F8</f>
        <v>6993700</v>
      </c>
      <c r="H8" s="8" t="s">
        <v>264</v>
      </c>
      <c r="I8" s="17" t="s">
        <v>69</v>
      </c>
    </row>
    <row r="9" customFormat="false" ht="19.5" hidden="false" customHeight="true" outlineLevel="0" collapsed="false">
      <c r="A9" s="17"/>
      <c r="B9" s="16" t="s">
        <v>183</v>
      </c>
      <c r="C9" s="4"/>
      <c r="D9" s="17" t="s">
        <v>40</v>
      </c>
      <c r="E9" s="42" t="n">
        <v>1</v>
      </c>
      <c r="F9" s="42" t="n">
        <v>160000</v>
      </c>
      <c r="G9" s="33" t="n">
        <f aca="false">E9*F9</f>
        <v>160000</v>
      </c>
      <c r="H9" s="4"/>
      <c r="I9" s="17" t="s">
        <v>69</v>
      </c>
    </row>
    <row r="10" customFormat="false" ht="19.5" hidden="false" customHeight="true" outlineLevel="0" collapsed="false">
      <c r="A10" s="17"/>
      <c r="B10" s="17" t="s">
        <v>185</v>
      </c>
      <c r="C10" s="4"/>
      <c r="D10" s="17" t="s">
        <v>40</v>
      </c>
      <c r="E10" s="42" t="n">
        <v>1</v>
      </c>
      <c r="F10" s="42" t="n">
        <v>160000</v>
      </c>
      <c r="G10" s="33" t="n">
        <f aca="false">E10*F10</f>
        <v>160000</v>
      </c>
      <c r="H10" s="8" t="s">
        <v>265</v>
      </c>
      <c r="I10" s="17" t="s">
        <v>69</v>
      </c>
    </row>
    <row r="11" customFormat="false" ht="19.5" hidden="false" customHeight="true" outlineLevel="0" collapsed="false">
      <c r="A11" s="17"/>
      <c r="B11" s="17" t="s">
        <v>186</v>
      </c>
      <c r="C11" s="8" t="s">
        <v>187</v>
      </c>
      <c r="D11" s="17" t="s">
        <v>40</v>
      </c>
      <c r="E11" s="42" t="n">
        <v>1</v>
      </c>
      <c r="F11" s="42" t="n">
        <v>1000000</v>
      </c>
      <c r="G11" s="33" t="n">
        <f aca="false">E11*F11</f>
        <v>1000000</v>
      </c>
      <c r="H11" s="4"/>
      <c r="I11" s="17" t="s">
        <v>69</v>
      </c>
    </row>
    <row r="12" customFormat="false" ht="19.5" hidden="false" customHeight="true" outlineLevel="0" collapsed="false">
      <c r="A12" s="17"/>
      <c r="B12" s="17" t="s">
        <v>188</v>
      </c>
      <c r="C12" s="8" t="s">
        <v>189</v>
      </c>
      <c r="D12" s="17" t="s">
        <v>40</v>
      </c>
      <c r="E12" s="42" t="n">
        <v>1</v>
      </c>
      <c r="F12" s="42" t="n">
        <v>500000</v>
      </c>
      <c r="G12" s="33" t="n">
        <f aca="false">E12*F12</f>
        <v>500000</v>
      </c>
      <c r="H12" s="8" t="s">
        <v>266</v>
      </c>
      <c r="I12" s="17" t="s">
        <v>69</v>
      </c>
    </row>
    <row r="13" customFormat="false" ht="19.5" hidden="false" customHeight="true" outlineLevel="0" collapsed="false">
      <c r="A13" s="17"/>
      <c r="B13" s="17" t="s">
        <v>190</v>
      </c>
      <c r="C13" s="8" t="s">
        <v>191</v>
      </c>
      <c r="D13" s="17" t="s">
        <v>40</v>
      </c>
      <c r="E13" s="42" t="n">
        <v>1</v>
      </c>
      <c r="F13" s="42" t="n">
        <v>420000</v>
      </c>
      <c r="G13" s="33" t="n">
        <f aca="false">E13*F13</f>
        <v>420000</v>
      </c>
      <c r="H13" s="8" t="s">
        <v>267</v>
      </c>
      <c r="I13" s="17" t="s">
        <v>69</v>
      </c>
    </row>
    <row r="14" customFormat="false" ht="19.5" hidden="false" customHeight="true" outlineLevel="0" collapsed="false">
      <c r="A14" s="17" t="s">
        <v>70</v>
      </c>
      <c r="B14" s="17" t="s">
        <v>192</v>
      </c>
      <c r="C14" s="8" t="s">
        <v>193</v>
      </c>
      <c r="D14" s="17" t="s">
        <v>221</v>
      </c>
      <c r="E14" s="42" t="n">
        <v>6</v>
      </c>
      <c r="F14" s="42" t="n">
        <v>330000</v>
      </c>
      <c r="G14" s="33" t="n">
        <f aca="false">E14*F14</f>
        <v>1980000</v>
      </c>
      <c r="H14" s="4" t="s">
        <v>253</v>
      </c>
      <c r="I14" s="17" t="s">
        <v>70</v>
      </c>
    </row>
    <row r="15" customFormat="false" ht="19.5" hidden="false" customHeight="true" outlineLevel="0" collapsed="false">
      <c r="A15" s="17"/>
      <c r="B15" s="17" t="s">
        <v>144</v>
      </c>
      <c r="C15" s="8" t="s">
        <v>195</v>
      </c>
      <c r="D15" s="17" t="s">
        <v>221</v>
      </c>
      <c r="E15" s="42" t="n">
        <v>3</v>
      </c>
      <c r="F15" s="42" t="n">
        <v>420000</v>
      </c>
      <c r="G15" s="33" t="n">
        <f aca="false">E15*F15</f>
        <v>1260000</v>
      </c>
      <c r="H15" s="4" t="s">
        <v>224</v>
      </c>
      <c r="I15" s="17" t="s">
        <v>70</v>
      </c>
    </row>
    <row r="16" customFormat="false" ht="19.5" hidden="false" customHeight="true" outlineLevel="0" collapsed="false">
      <c r="A16" s="17"/>
      <c r="B16" s="17" t="s">
        <v>126</v>
      </c>
      <c r="C16" s="8" t="s">
        <v>197</v>
      </c>
      <c r="D16" s="17" t="s">
        <v>221</v>
      </c>
      <c r="E16" s="42" t="n">
        <v>3</v>
      </c>
      <c r="F16" s="42" t="n">
        <v>190000</v>
      </c>
      <c r="G16" s="33" t="n">
        <f aca="false">E16*F16</f>
        <v>570000</v>
      </c>
      <c r="H16" s="4" t="s">
        <v>224</v>
      </c>
      <c r="I16" s="17" t="s">
        <v>70</v>
      </c>
    </row>
    <row r="17" customFormat="false" ht="19.5" hidden="false" customHeight="true" outlineLevel="0" collapsed="false">
      <c r="A17" s="17"/>
      <c r="B17" s="17" t="s">
        <v>159</v>
      </c>
      <c r="C17" s="8" t="s">
        <v>199</v>
      </c>
      <c r="D17" s="17" t="s">
        <v>221</v>
      </c>
      <c r="E17" s="42" t="n">
        <v>3</v>
      </c>
      <c r="F17" s="42" t="n">
        <v>230000</v>
      </c>
      <c r="G17" s="33" t="n">
        <f aca="false">E17*F17</f>
        <v>690000</v>
      </c>
      <c r="H17" s="4" t="s">
        <v>224</v>
      </c>
      <c r="I17" s="17" t="s">
        <v>70</v>
      </c>
    </row>
    <row r="18" customFormat="false" ht="19.5" hidden="false" customHeight="true" outlineLevel="0" collapsed="false">
      <c r="A18" s="17" t="s">
        <v>225</v>
      </c>
      <c r="B18" s="17" t="s">
        <v>201</v>
      </c>
      <c r="C18" s="8" t="s">
        <v>202</v>
      </c>
      <c r="D18" s="17" t="s">
        <v>268</v>
      </c>
      <c r="E18" s="42" t="n">
        <v>2</v>
      </c>
      <c r="F18" s="42" t="n">
        <v>300000</v>
      </c>
      <c r="G18" s="33" t="n">
        <f aca="false">E18*F18</f>
        <v>600000</v>
      </c>
      <c r="H18" s="4"/>
      <c r="I18" s="17" t="s">
        <v>71</v>
      </c>
    </row>
    <row r="19" customFormat="false" ht="19.5" hidden="false" customHeight="true" outlineLevel="0" collapsed="false">
      <c r="A19" s="17"/>
      <c r="B19" s="17" t="s">
        <v>201</v>
      </c>
      <c r="C19" s="8" t="s">
        <v>204</v>
      </c>
      <c r="D19" s="17" t="s">
        <v>268</v>
      </c>
      <c r="E19" s="42" t="n">
        <v>1</v>
      </c>
      <c r="F19" s="42" t="n">
        <v>300000</v>
      </c>
      <c r="G19" s="33" t="n">
        <f aca="false">E19*F19</f>
        <v>300000</v>
      </c>
      <c r="H19" s="4"/>
      <c r="I19" s="17" t="s">
        <v>71</v>
      </c>
    </row>
    <row r="20" customFormat="false" ht="19.5" hidden="false" customHeight="true" outlineLevel="0" collapsed="false">
      <c r="A20" s="17"/>
      <c r="B20" s="16" t="s">
        <v>163</v>
      </c>
      <c r="C20" s="4" t="s">
        <v>164</v>
      </c>
      <c r="D20" s="17" t="s">
        <v>226</v>
      </c>
      <c r="E20" s="42" t="n">
        <v>3</v>
      </c>
      <c r="F20" s="42" t="n">
        <v>400000</v>
      </c>
      <c r="G20" s="33" t="n">
        <f aca="false">E20*F20</f>
        <v>1200000</v>
      </c>
      <c r="H20" s="4" t="s">
        <v>269</v>
      </c>
      <c r="I20" s="17" t="s">
        <v>71</v>
      </c>
    </row>
    <row r="21" customFormat="false" ht="19.5" hidden="false" customHeight="true" outlineLevel="0" collapsed="false">
      <c r="A21" s="17"/>
      <c r="B21" s="17" t="s">
        <v>208</v>
      </c>
      <c r="C21" s="8" t="s">
        <v>209</v>
      </c>
      <c r="D21" s="17" t="s">
        <v>40</v>
      </c>
      <c r="E21" s="42" t="n">
        <v>1</v>
      </c>
      <c r="F21" s="42" t="n">
        <v>300000</v>
      </c>
      <c r="G21" s="33" t="n">
        <f aca="false">E21*F21</f>
        <v>300000</v>
      </c>
      <c r="H21" s="4"/>
      <c r="I21" s="17" t="s">
        <v>71</v>
      </c>
    </row>
    <row r="22" customFormat="false" ht="19.5" hidden="false" customHeight="true" outlineLevel="0" collapsed="false">
      <c r="A22" s="17" t="s">
        <v>71</v>
      </c>
      <c r="B22" s="17" t="s">
        <v>134</v>
      </c>
      <c r="C22" s="8" t="s">
        <v>135</v>
      </c>
      <c r="D22" s="17" t="s">
        <v>221</v>
      </c>
      <c r="E22" s="42" t="n">
        <v>15</v>
      </c>
      <c r="F22" s="42" t="n">
        <v>20000</v>
      </c>
      <c r="G22" s="33" t="n">
        <f aca="false">E22*F22</f>
        <v>300000</v>
      </c>
      <c r="H22" s="8" t="s">
        <v>270</v>
      </c>
      <c r="I22" s="17" t="s">
        <v>71</v>
      </c>
    </row>
    <row r="23" customFormat="false" ht="19.5" hidden="false" customHeight="true" outlineLevel="0" collapsed="false">
      <c r="A23" s="17"/>
      <c r="B23" s="17" t="s">
        <v>137</v>
      </c>
      <c r="C23" s="8" t="s">
        <v>138</v>
      </c>
      <c r="D23" s="17" t="s">
        <v>226</v>
      </c>
      <c r="E23" s="42" t="n">
        <v>3</v>
      </c>
      <c r="F23" s="42" t="n">
        <v>85000</v>
      </c>
      <c r="G23" s="33" t="n">
        <f aca="false">E23*F23</f>
        <v>255000</v>
      </c>
      <c r="H23" s="4" t="s">
        <v>269</v>
      </c>
      <c r="I23" s="17" t="s">
        <v>71</v>
      </c>
    </row>
    <row r="24" customFormat="false" ht="19.5" hidden="false" customHeight="true" outlineLevel="0" collapsed="false">
      <c r="A24" s="43" t="s">
        <v>239</v>
      </c>
      <c r="B24" s="43"/>
      <c r="C24" s="43"/>
      <c r="D24" s="43"/>
      <c r="E24" s="43"/>
      <c r="F24" s="43"/>
      <c r="G24" s="44" t="n">
        <f aca="false">SUMIF($I$8:$I$23,"재료비",$G$8:$G$23)</f>
        <v>9233700</v>
      </c>
      <c r="H24" s="20"/>
      <c r="I24" s="20"/>
    </row>
    <row r="25" customFormat="false" ht="19.5" hidden="false" customHeight="true" outlineLevel="0" collapsed="false">
      <c r="A25" s="43" t="s">
        <v>240</v>
      </c>
      <c r="B25" s="43"/>
      <c r="C25" s="43"/>
      <c r="D25" s="43"/>
      <c r="E25" s="43"/>
      <c r="F25" s="43"/>
      <c r="G25" s="44" t="n">
        <f aca="false">SUMIF($I$8:$I$23,"노무비",$G$8:$G$23)</f>
        <v>4500000</v>
      </c>
      <c r="H25" s="20"/>
      <c r="I25" s="20"/>
    </row>
    <row r="26" customFormat="false" ht="19.5" hidden="false" customHeight="true" outlineLevel="0" collapsed="false">
      <c r="A26" s="43" t="s">
        <v>241</v>
      </c>
      <c r="B26" s="43"/>
      <c r="C26" s="43"/>
      <c r="D26" s="43"/>
      <c r="E26" s="43"/>
      <c r="F26" s="43"/>
      <c r="G26" s="44" t="n">
        <f aca="false">SUMIF($I$8:$I$23,"경비",$G$8:$G$23)</f>
        <v>2955000</v>
      </c>
      <c r="H26" s="20"/>
      <c r="I26" s="20"/>
    </row>
    <row r="27" customFormat="false" ht="19.5" hidden="false" customHeight="true" outlineLevel="0" collapsed="false">
      <c r="A27" s="43" t="s">
        <v>72</v>
      </c>
      <c r="B27" s="43"/>
      <c r="C27" s="43"/>
      <c r="D27" s="43"/>
      <c r="E27" s="43"/>
      <c r="F27" s="43"/>
      <c r="G27" s="44" t="n">
        <f aca="false">G25*요율근거!$C$5</f>
        <v>160200</v>
      </c>
      <c r="H27" s="40" t="s">
        <v>242</v>
      </c>
      <c r="I27" s="40"/>
    </row>
    <row r="28" customFormat="false" ht="19.5" hidden="false" customHeight="true" outlineLevel="0" collapsed="false">
      <c r="A28" s="43" t="s">
        <v>73</v>
      </c>
      <c r="B28" s="43"/>
      <c r="C28" s="43"/>
      <c r="D28" s="43"/>
      <c r="E28" s="43"/>
      <c r="F28" s="43"/>
      <c r="G28" s="44" t="n">
        <f aca="false">G25*요율근거!$C$6</f>
        <v>51750</v>
      </c>
      <c r="H28" s="40" t="s">
        <v>243</v>
      </c>
      <c r="I28" s="40"/>
    </row>
    <row r="29" customFormat="false" ht="19.5" hidden="false" customHeight="true" outlineLevel="0" collapsed="false">
      <c r="A29" s="43" t="s">
        <v>74</v>
      </c>
      <c r="B29" s="43"/>
      <c r="C29" s="43"/>
      <c r="D29" s="43"/>
      <c r="E29" s="43"/>
      <c r="F29" s="43"/>
      <c r="G29" s="44" t="n">
        <f aca="false">(G24+G25)*요율근거!$C$7</f>
        <v>427118.07</v>
      </c>
      <c r="H29" s="20" t="s">
        <v>244</v>
      </c>
      <c r="I29" s="20"/>
    </row>
    <row r="30" customFormat="false" ht="19.5" hidden="false" customHeight="true" outlineLevel="0" collapsed="false">
      <c r="A30" s="3" t="s">
        <v>75</v>
      </c>
      <c r="B30" s="3"/>
      <c r="C30" s="3"/>
      <c r="D30" s="3"/>
      <c r="E30" s="3"/>
      <c r="F30" s="3"/>
      <c r="G30" s="19" t="n">
        <f aca="false">SUM(G24:G29)</f>
        <v>17327768.07</v>
      </c>
      <c r="H30" s="20"/>
      <c r="I30" s="20"/>
    </row>
    <row r="31" customFormat="false" ht="19.5" hidden="false" customHeight="true" outlineLevel="0" collapsed="false">
      <c r="A31" s="43" t="s">
        <v>76</v>
      </c>
      <c r="B31" s="43"/>
      <c r="C31" s="43"/>
      <c r="D31" s="43"/>
      <c r="E31" s="43"/>
      <c r="F31" s="43"/>
      <c r="G31" s="44" t="n">
        <f aca="false">G30*요율근거!$C$8</f>
        <v>866388.4035</v>
      </c>
      <c r="H31" s="40" t="s">
        <v>245</v>
      </c>
      <c r="I31" s="40"/>
    </row>
    <row r="32" customFormat="false" ht="19.5" hidden="false" customHeight="true" outlineLevel="0" collapsed="false">
      <c r="A32" s="43" t="s">
        <v>77</v>
      </c>
      <c r="B32" s="43"/>
      <c r="C32" s="43"/>
      <c r="D32" s="43"/>
      <c r="E32" s="43"/>
      <c r="F32" s="43"/>
      <c r="G32" s="44" t="n">
        <f aca="false">(G25+G26+G27+G28+G29+G31)*요율근거!$C$11</f>
        <v>716836.51788</v>
      </c>
      <c r="H32" s="20" t="s">
        <v>246</v>
      </c>
      <c r="I32" s="20"/>
    </row>
    <row r="33" customFormat="false" ht="19.5" hidden="false" customHeight="true" outlineLevel="0" collapsed="false">
      <c r="A33" s="43" t="s">
        <v>78</v>
      </c>
      <c r="B33" s="43"/>
      <c r="C33" s="43"/>
      <c r="D33" s="43"/>
      <c r="E33" s="43"/>
      <c r="F33" s="43"/>
      <c r="G33" s="44" t="n">
        <f aca="false">-MOD(G30+G31+G32,1000)</f>
        <v>-992.991379998624</v>
      </c>
      <c r="H33" s="40" t="s">
        <v>247</v>
      </c>
      <c r="I33" s="40"/>
    </row>
    <row r="34" customFormat="false" ht="19.5" hidden="false" customHeight="true" outlineLevel="0" collapsed="false">
      <c r="A34" s="45" t="s">
        <v>142</v>
      </c>
      <c r="B34" s="45"/>
      <c r="C34" s="45"/>
      <c r="D34" s="45"/>
      <c r="E34" s="45"/>
      <c r="F34" s="45"/>
      <c r="G34" s="46" t="n">
        <f aca="false">G30+G31+G32+G33</f>
        <v>18910000</v>
      </c>
      <c r="H34" s="10" t="s">
        <v>248</v>
      </c>
      <c r="I34" s="10"/>
    </row>
    <row r="36" customFormat="false" ht="13.4" hidden="false" customHeight="false" outlineLevel="0" collapsed="false">
      <c r="A36" s="47" t="s">
        <v>249</v>
      </c>
      <c r="B36" s="47"/>
      <c r="C36" s="47"/>
      <c r="D36" s="47"/>
      <c r="E36" s="47"/>
      <c r="F36" s="47"/>
      <c r="G36" s="47"/>
      <c r="H36" s="47"/>
      <c r="I36" s="47"/>
    </row>
    <row r="37" customFormat="false" ht="13.4" hidden="false" customHeight="false" outlineLevel="0" collapsed="false">
      <c r="A37" s="48" t="s">
        <v>250</v>
      </c>
      <c r="B37" s="48"/>
      <c r="C37" s="48"/>
      <c r="D37" s="48"/>
      <c r="E37" s="48"/>
      <c r="F37" s="48"/>
      <c r="G37" s="48"/>
      <c r="H37" s="48"/>
      <c r="I37" s="48"/>
    </row>
  </sheetData>
  <mergeCells count="31">
    <mergeCell ref="A1:I2"/>
    <mergeCell ref="A3:I3"/>
    <mergeCell ref="A5:I5"/>
    <mergeCell ref="A8:A13"/>
    <mergeCell ref="A14:A17"/>
    <mergeCell ref="A18:A21"/>
    <mergeCell ref="A22:A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6:I36"/>
    <mergeCell ref="A37:I37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49" t="s">
        <v>271</v>
      </c>
    </row>
    <row r="3" customFormat="false" ht="15" hidden="false" customHeight="false" outlineLevel="0" collapsed="false">
      <c r="A3" s="15" t="s">
        <v>272</v>
      </c>
      <c r="B3" s="15" t="s">
        <v>273</v>
      </c>
      <c r="C3" s="15" t="s">
        <v>274</v>
      </c>
      <c r="D3" s="15" t="s">
        <v>275</v>
      </c>
      <c r="E3" s="15" t="s">
        <v>276</v>
      </c>
    </row>
    <row r="4" customFormat="false" ht="15" hidden="false" customHeight="false" outlineLevel="0" collapsed="false">
      <c r="A4" s="50" t="n">
        <v>10</v>
      </c>
      <c r="B4" s="50" t="n">
        <v>4</v>
      </c>
      <c r="C4" s="51" t="n">
        <f aca="false">A4*B4</f>
        <v>40</v>
      </c>
      <c r="D4" s="50" t="n">
        <v>72.4</v>
      </c>
      <c r="E4" s="52" t="n">
        <f aca="false">C4*D4</f>
        <v>2896</v>
      </c>
    </row>
    <row r="5" customFormat="false" ht="15" hidden="false" customHeight="false" outlineLevel="0" collapsed="false">
      <c r="A5" s="50" t="n">
        <v>5</v>
      </c>
      <c r="B5" s="50" t="n">
        <v>16</v>
      </c>
      <c r="C5" s="51" t="n">
        <f aca="false">A5*B5</f>
        <v>80</v>
      </c>
      <c r="D5" s="50" t="n">
        <v>72.4</v>
      </c>
      <c r="E5" s="52" t="n">
        <f aca="false">C5*D5</f>
        <v>5792</v>
      </c>
    </row>
    <row r="6" customFormat="false" ht="15" hidden="false" customHeight="false" outlineLevel="0" collapsed="false">
      <c r="A6" s="50" t="n">
        <v>0.6</v>
      </c>
      <c r="B6" s="50" t="n">
        <v>30</v>
      </c>
      <c r="C6" s="51" t="n">
        <f aca="false">A6*B6</f>
        <v>18</v>
      </c>
      <c r="D6" s="50" t="n">
        <v>72.4</v>
      </c>
      <c r="E6" s="52" t="n">
        <f aca="false">C6*D6</f>
        <v>1303.2</v>
      </c>
    </row>
    <row r="7" customFormat="false" ht="15" hidden="false" customHeight="false" outlineLevel="0" collapsed="false">
      <c r="A7" s="53"/>
      <c r="B7" s="54" t="s">
        <v>67</v>
      </c>
      <c r="C7" s="53" t="n">
        <f aca="false">SUM(C4:C6)</f>
        <v>138</v>
      </c>
      <c r="D7" s="53"/>
      <c r="E7" s="55" t="n">
        <f aca="false">SUM(E4:E6)</f>
        <v>9991.2</v>
      </c>
    </row>
    <row r="9" customFormat="false" ht="15" hidden="false" customHeight="false" outlineLevel="0" collapsed="false">
      <c r="A9" s="15" t="s">
        <v>217</v>
      </c>
      <c r="B9" s="15" t="s">
        <v>88</v>
      </c>
      <c r="C9" s="14" t="s">
        <v>277</v>
      </c>
      <c r="D9" s="15" t="s">
        <v>36</v>
      </c>
    </row>
    <row r="10" customFormat="false" ht="15" hidden="false" customHeight="false" outlineLevel="0" collapsed="false">
      <c r="A10" s="56" t="s">
        <v>278</v>
      </c>
      <c r="B10" s="57" t="n">
        <v>13575440</v>
      </c>
      <c r="C10" s="52" t="n">
        <f aca="false">B10/$E$7</f>
        <v>1358.73969092802</v>
      </c>
      <c r="D10" s="56" t="s">
        <v>279</v>
      </c>
    </row>
    <row r="11" customFormat="false" ht="15" hidden="false" customHeight="false" outlineLevel="0" collapsed="false">
      <c r="A11" s="56" t="s">
        <v>280</v>
      </c>
      <c r="B11" s="57" t="n">
        <v>9577783</v>
      </c>
      <c r="C11" s="52" t="n">
        <f aca="false">B11/$E$7</f>
        <v>958.621887260789</v>
      </c>
      <c r="D11" s="56" t="s">
        <v>279</v>
      </c>
    </row>
    <row r="12" customFormat="false" ht="15" hidden="false" customHeight="false" outlineLevel="0" collapsed="false">
      <c r="A12" s="56" t="s">
        <v>281</v>
      </c>
      <c r="B12" s="57" t="n">
        <v>4000000</v>
      </c>
      <c r="C12" s="52" t="n">
        <f aca="false">B12/$E$7</f>
        <v>400.352310032829</v>
      </c>
      <c r="D12" s="56" t="s">
        <v>282</v>
      </c>
    </row>
    <row r="13" customFormat="false" ht="15" hidden="false" customHeight="false" outlineLevel="0" collapsed="false">
      <c r="A13" s="56" t="s">
        <v>283</v>
      </c>
      <c r="B13" s="58" t="n">
        <f aca="false">E7*700</f>
        <v>6993840</v>
      </c>
      <c r="C13" s="52" t="n">
        <f aca="false">B13/$E$7</f>
        <v>700</v>
      </c>
      <c r="D13" s="51" t="s">
        <v>284</v>
      </c>
    </row>
    <row r="14" customFormat="false" ht="15" hidden="false" customHeight="false" outlineLevel="0" collapsed="false">
      <c r="A14" s="56" t="s">
        <v>285</v>
      </c>
      <c r="B14" s="58" t="n">
        <f aca="false">B13-(B11-B12)</f>
        <v>1416057</v>
      </c>
      <c r="C14" s="52" t="n">
        <f aca="false">B14/$E$7</f>
        <v>141.730422772039</v>
      </c>
      <c r="D14" s="56" t="s">
        <v>286</v>
      </c>
    </row>
    <row r="16" customFormat="false" ht="15" hidden="false" customHeight="false" outlineLevel="0" collapsed="false">
      <c r="A16" s="36" t="s">
        <v>287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5" t="s">
        <v>288</v>
      </c>
    </row>
    <row r="3" customFormat="false" ht="15" hidden="false" customHeight="false" outlineLevel="0" collapsed="false">
      <c r="A3" s="54" t="s">
        <v>289</v>
      </c>
      <c r="B3" s="54" t="s">
        <v>290</v>
      </c>
      <c r="C3" s="59" t="s">
        <v>291</v>
      </c>
      <c r="D3" s="59" t="s">
        <v>292</v>
      </c>
      <c r="E3" s="59" t="s">
        <v>293</v>
      </c>
      <c r="F3" s="59" t="s">
        <v>294</v>
      </c>
      <c r="G3" s="59" t="s">
        <v>295</v>
      </c>
      <c r="H3" s="59" t="s">
        <v>296</v>
      </c>
      <c r="I3" s="59" t="s">
        <v>297</v>
      </c>
      <c r="J3" s="59" t="s">
        <v>298</v>
      </c>
      <c r="K3" s="59" t="s">
        <v>299</v>
      </c>
      <c r="L3" s="59" t="s">
        <v>300</v>
      </c>
      <c r="M3" s="59" t="s">
        <v>301</v>
      </c>
    </row>
    <row r="4" customFormat="false" ht="15" hidden="false" customHeight="false" outlineLevel="0" collapsed="false">
      <c r="A4" s="60" t="s">
        <v>302</v>
      </c>
      <c r="B4" s="60" t="s">
        <v>303</v>
      </c>
      <c r="C4" s="61"/>
      <c r="D4" s="56"/>
      <c r="E4" s="56"/>
      <c r="F4" s="56"/>
      <c r="G4" s="56"/>
      <c r="H4" s="56"/>
      <c r="I4" s="56"/>
      <c r="J4" s="56"/>
      <c r="K4" s="56"/>
      <c r="L4" s="56"/>
      <c r="M4" s="56"/>
    </row>
    <row r="5" customFormat="false" ht="15" hidden="false" customHeight="false" outlineLevel="0" collapsed="false">
      <c r="A5" s="60" t="s">
        <v>304</v>
      </c>
      <c r="B5" s="60" t="s">
        <v>305</v>
      </c>
      <c r="C5" s="61"/>
      <c r="D5" s="61"/>
      <c r="E5" s="61"/>
      <c r="F5" s="56"/>
      <c r="G5" s="56"/>
      <c r="H5" s="56"/>
      <c r="I5" s="56"/>
      <c r="J5" s="56"/>
      <c r="K5" s="56"/>
      <c r="L5" s="56"/>
      <c r="M5" s="56"/>
    </row>
    <row r="6" customFormat="false" ht="15" hidden="false" customHeight="false" outlineLevel="0" collapsed="false">
      <c r="A6" s="60" t="s">
        <v>306</v>
      </c>
      <c r="B6" s="60" t="s">
        <v>307</v>
      </c>
      <c r="C6" s="56"/>
      <c r="D6" s="56"/>
      <c r="E6" s="56"/>
      <c r="F6" s="61"/>
      <c r="G6" s="56"/>
      <c r="H6" s="56"/>
      <c r="I6" s="56"/>
      <c r="J6" s="56"/>
      <c r="K6" s="56"/>
      <c r="L6" s="56"/>
      <c r="M6" s="56"/>
    </row>
    <row r="7" customFormat="false" ht="15" hidden="false" customHeight="false" outlineLevel="0" collapsed="false">
      <c r="A7" s="60" t="s">
        <v>308</v>
      </c>
      <c r="B7" s="60" t="s">
        <v>309</v>
      </c>
      <c r="C7" s="56"/>
      <c r="D7" s="56"/>
      <c r="E7" s="56"/>
      <c r="F7" s="56"/>
      <c r="G7" s="61"/>
      <c r="H7" s="61"/>
      <c r="I7" s="56"/>
      <c r="J7" s="56"/>
      <c r="K7" s="56"/>
      <c r="L7" s="56"/>
      <c r="M7" s="56"/>
    </row>
    <row r="8" customFormat="false" ht="15" hidden="false" customHeight="false" outlineLevel="0" collapsed="false">
      <c r="A8" s="60" t="s">
        <v>310</v>
      </c>
      <c r="B8" s="60" t="s">
        <v>311</v>
      </c>
      <c r="C8" s="56"/>
      <c r="D8" s="56"/>
      <c r="E8" s="56"/>
      <c r="F8" s="56"/>
      <c r="G8" s="56"/>
      <c r="H8" s="56"/>
      <c r="I8" s="61"/>
      <c r="J8" s="61"/>
      <c r="K8" s="56"/>
      <c r="L8" s="56"/>
      <c r="M8" s="56"/>
    </row>
    <row r="9" customFormat="false" ht="15" hidden="false" customHeight="false" outlineLevel="0" collapsed="false">
      <c r="A9" s="60" t="s">
        <v>312</v>
      </c>
      <c r="B9" s="60" t="s">
        <v>313</v>
      </c>
      <c r="C9" s="56"/>
      <c r="D9" s="56"/>
      <c r="E9" s="56"/>
      <c r="F9" s="56"/>
      <c r="G9" s="56"/>
      <c r="H9" s="56"/>
      <c r="I9" s="56"/>
      <c r="J9" s="56"/>
      <c r="K9" s="61"/>
      <c r="L9" s="61"/>
      <c r="M9" s="61"/>
    </row>
    <row r="10" customFormat="false" ht="15" hidden="false" customHeight="false" outlineLevel="0" collapsed="false">
      <c r="A10" s="60" t="s">
        <v>314</v>
      </c>
      <c r="B10" s="60" t="s">
        <v>303</v>
      </c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61"/>
    </row>
    <row r="12" customFormat="false" ht="15" hidden="false" customHeight="false" outlineLevel="0" collapsed="false">
      <c r="A12" s="36" t="s">
        <v>315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5" t="s">
        <v>316</v>
      </c>
    </row>
    <row r="2" customFormat="false" ht="15" hidden="false" customHeight="false" outlineLevel="0" collapsed="false">
      <c r="A2" s="36" t="s">
        <v>317</v>
      </c>
    </row>
    <row r="4" customFormat="false" ht="15" hidden="false" customHeight="false" outlineLevel="0" collapsed="false">
      <c r="A4" s="15" t="s">
        <v>318</v>
      </c>
      <c r="B4" s="15" t="s">
        <v>319</v>
      </c>
      <c r="C4" s="15" t="s">
        <v>320</v>
      </c>
      <c r="D4" s="15" t="s">
        <v>321</v>
      </c>
    </row>
    <row r="5" customFormat="false" ht="30" hidden="false" customHeight="true" outlineLevel="0" collapsed="false">
      <c r="A5" s="8" t="s">
        <v>72</v>
      </c>
      <c r="B5" s="8" t="s">
        <v>322</v>
      </c>
      <c r="C5" s="62" t="n">
        <v>0.0356</v>
      </c>
      <c r="D5" s="8" t="s">
        <v>323</v>
      </c>
    </row>
    <row r="6" customFormat="false" ht="30" hidden="false" customHeight="true" outlineLevel="0" collapsed="false">
      <c r="A6" s="8" t="s">
        <v>73</v>
      </c>
      <c r="B6" s="8" t="s">
        <v>322</v>
      </c>
      <c r="C6" s="62" t="n">
        <v>0.0115</v>
      </c>
      <c r="D6" s="8" t="s">
        <v>324</v>
      </c>
    </row>
    <row r="7" customFormat="false" ht="30" hidden="false" customHeight="true" outlineLevel="0" collapsed="false">
      <c r="A7" s="8" t="s">
        <v>74</v>
      </c>
      <c r="B7" s="4" t="s">
        <v>325</v>
      </c>
      <c r="C7" s="62" t="n">
        <v>0.0311</v>
      </c>
      <c r="D7" s="8" t="s">
        <v>326</v>
      </c>
    </row>
    <row r="8" customFormat="false" ht="30" hidden="false" customHeight="true" outlineLevel="0" collapsed="false">
      <c r="A8" s="8" t="s">
        <v>76</v>
      </c>
      <c r="B8" s="8" t="s">
        <v>327</v>
      </c>
      <c r="C8" s="62" t="n">
        <v>0.05</v>
      </c>
      <c r="D8" s="8" t="s">
        <v>328</v>
      </c>
    </row>
    <row r="9" customFormat="false" ht="30" hidden="false" customHeight="true" outlineLevel="0" collapsed="false">
      <c r="A9" s="8" t="s">
        <v>329</v>
      </c>
      <c r="B9" s="4" t="s">
        <v>330</v>
      </c>
      <c r="C9" s="63" t="n">
        <v>0.08</v>
      </c>
      <c r="D9" s="8" t="s">
        <v>331</v>
      </c>
    </row>
    <row r="10" customFormat="false" ht="30" hidden="false" customHeight="true" outlineLevel="0" collapsed="false">
      <c r="A10" s="8" t="s">
        <v>332</v>
      </c>
      <c r="B10" s="4" t="s">
        <v>330</v>
      </c>
      <c r="C10" s="63" t="n">
        <v>0.08</v>
      </c>
      <c r="D10" s="8" t="s">
        <v>331</v>
      </c>
    </row>
    <row r="11" customFormat="false" ht="30" hidden="false" customHeight="true" outlineLevel="0" collapsed="false">
      <c r="A11" s="8" t="s">
        <v>333</v>
      </c>
      <c r="B11" s="4" t="s">
        <v>330</v>
      </c>
      <c r="C11" s="63" t="n">
        <v>0.08</v>
      </c>
      <c r="D11" s="8" t="s">
        <v>331</v>
      </c>
    </row>
    <row r="12" customFormat="false" ht="30" hidden="false" customHeight="true" outlineLevel="0" collapsed="false">
      <c r="A12" s="8" t="s">
        <v>334</v>
      </c>
      <c r="B12" s="8" t="s">
        <v>335</v>
      </c>
      <c r="C12" s="16" t="s">
        <v>336</v>
      </c>
      <c r="D12" s="4" t="s">
        <v>337</v>
      </c>
    </row>
    <row r="14" customFormat="false" ht="15" hidden="false" customHeight="false" outlineLevel="0" collapsed="false">
      <c r="A14" s="64" t="s">
        <v>338</v>
      </c>
    </row>
    <row r="15" customFormat="false" ht="15" hidden="false" customHeight="false" outlineLevel="0" collapsed="false">
      <c r="A15" s="15" t="s">
        <v>339</v>
      </c>
      <c r="B15" s="15" t="s">
        <v>340</v>
      </c>
      <c r="C15" s="15" t="s">
        <v>341</v>
      </c>
      <c r="D15" s="15" t="s">
        <v>342</v>
      </c>
      <c r="E15" s="15" t="s">
        <v>343</v>
      </c>
    </row>
    <row r="16" customFormat="false" ht="15" hidden="false" customHeight="false" outlineLevel="0" collapsed="false">
      <c r="A16" s="8" t="s">
        <v>144</v>
      </c>
      <c r="B16" s="8" t="s">
        <v>344</v>
      </c>
      <c r="C16" s="42" t="n">
        <v>292640</v>
      </c>
      <c r="D16" s="42" t="n">
        <v>420000</v>
      </c>
      <c r="E16" s="65" t="n">
        <f aca="false">D16/C16</f>
        <v>1.43521049753964</v>
      </c>
    </row>
    <row r="17" customFormat="false" ht="15" hidden="false" customHeight="false" outlineLevel="0" collapsed="false">
      <c r="A17" s="8" t="s">
        <v>345</v>
      </c>
      <c r="B17" s="8" t="s">
        <v>346</v>
      </c>
      <c r="C17" s="42" t="n">
        <v>266029</v>
      </c>
      <c r="D17" s="42" t="n">
        <v>330000</v>
      </c>
      <c r="E17" s="65" t="n">
        <f aca="false">D17/C17</f>
        <v>1.24046626495608</v>
      </c>
    </row>
    <row r="18" customFormat="false" ht="15" hidden="false" customHeight="false" outlineLevel="0" collapsed="false">
      <c r="A18" s="8" t="s">
        <v>153</v>
      </c>
      <c r="B18" s="8" t="s">
        <v>347</v>
      </c>
      <c r="C18" s="42" t="n">
        <v>226122</v>
      </c>
      <c r="D18" s="42" t="n">
        <v>260000</v>
      </c>
      <c r="E18" s="65" t="n">
        <f aca="false">D18/C18</f>
        <v>1.14982177762447</v>
      </c>
    </row>
    <row r="19" customFormat="false" ht="15" hidden="false" customHeight="false" outlineLevel="0" collapsed="false">
      <c r="A19" s="8" t="s">
        <v>126</v>
      </c>
      <c r="B19" s="8" t="s">
        <v>348</v>
      </c>
      <c r="C19" s="42" t="n">
        <v>172068</v>
      </c>
      <c r="D19" s="42" t="n">
        <v>190000</v>
      </c>
      <c r="E19" s="65" t="n">
        <f aca="false">D19/C19</f>
        <v>1.10421461282749</v>
      </c>
    </row>
    <row r="20" customFormat="false" ht="15" hidden="false" customHeight="false" outlineLevel="0" collapsed="false">
      <c r="A20" s="8" t="s">
        <v>159</v>
      </c>
      <c r="B20" s="8" t="s">
        <v>347</v>
      </c>
      <c r="C20" s="42" t="n">
        <v>226122</v>
      </c>
      <c r="D20" s="42" t="n">
        <v>230000</v>
      </c>
      <c r="E20" s="65" t="n">
        <f aca="false">D20/C20</f>
        <v>1.01715003405241</v>
      </c>
    </row>
    <row r="21" customFormat="false" ht="15" hidden="false" customHeight="false" outlineLevel="0" collapsed="false">
      <c r="A21" s="8" t="s">
        <v>96</v>
      </c>
      <c r="B21" s="8" t="s">
        <v>347</v>
      </c>
      <c r="C21" s="42" t="n">
        <v>226122</v>
      </c>
      <c r="D21" s="42" t="n">
        <v>260000</v>
      </c>
      <c r="E21" s="65" t="n">
        <f aca="false">D21/C21</f>
        <v>1.14982177762447</v>
      </c>
    </row>
    <row r="22" customFormat="false" ht="15" hidden="false" customHeight="false" outlineLevel="0" collapsed="false">
      <c r="A22" s="8" t="s">
        <v>91</v>
      </c>
      <c r="B22" s="8" t="s">
        <v>349</v>
      </c>
      <c r="C22" s="42" t="n">
        <v>281939</v>
      </c>
      <c r="D22" s="42" t="n">
        <v>300000</v>
      </c>
      <c r="E22" s="65" t="n">
        <f aca="false">D22/C22</f>
        <v>1.06405995623167</v>
      </c>
    </row>
    <row r="23" customFormat="false" ht="30" hidden="false" customHeight="true" outlineLevel="0" collapsed="false">
      <c r="A23" s="34" t="s">
        <v>350</v>
      </c>
      <c r="B23" s="34"/>
      <c r="C23" s="34"/>
      <c r="D23" s="34"/>
      <c r="E23" s="34"/>
    </row>
    <row r="25" customFormat="false" ht="15" hidden="false" customHeight="false" outlineLevel="0" collapsed="false">
      <c r="A25" s="64" t="s">
        <v>351</v>
      </c>
    </row>
    <row r="26" customFormat="false" ht="15" hidden="false" customHeight="false" outlineLevel="0" collapsed="false">
      <c r="A26" s="66" t="s">
        <v>352</v>
      </c>
      <c r="B26" s="67" t="s">
        <v>353</v>
      </c>
      <c r="C26" s="67"/>
      <c r="D26" s="67"/>
      <c r="E26" s="67"/>
    </row>
    <row r="27" customFormat="false" ht="15" hidden="false" customHeight="false" outlineLevel="0" collapsed="false">
      <c r="A27" s="66" t="s">
        <v>354</v>
      </c>
      <c r="B27" s="67" t="s">
        <v>355</v>
      </c>
      <c r="C27" s="67"/>
      <c r="D27" s="67"/>
      <c r="E27" s="67"/>
    </row>
    <row r="28" customFormat="false" ht="14.15" hidden="false" customHeight="false" outlineLevel="0" collapsed="false">
      <c r="A28" s="66" t="s">
        <v>356</v>
      </c>
      <c r="B28" s="67" t="s">
        <v>357</v>
      </c>
      <c r="C28" s="67"/>
      <c r="D28" s="67"/>
      <c r="E28" s="67"/>
    </row>
    <row r="29" customFormat="false" ht="15" hidden="false" customHeight="false" outlineLevel="0" collapsed="false">
      <c r="A29" s="66" t="s">
        <v>74</v>
      </c>
      <c r="B29" s="67" t="s">
        <v>358</v>
      </c>
      <c r="C29" s="67"/>
      <c r="D29" s="67"/>
      <c r="E29" s="67"/>
    </row>
    <row r="30" customFormat="false" ht="15" hidden="false" customHeight="false" outlineLevel="0" collapsed="false">
      <c r="A30" s="66" t="s">
        <v>359</v>
      </c>
      <c r="B30" s="67" t="s">
        <v>360</v>
      </c>
      <c r="C30" s="67"/>
      <c r="D30" s="67"/>
      <c r="E30" s="67"/>
    </row>
    <row r="31" customFormat="false" ht="14.15" hidden="false" customHeight="false" outlineLevel="0" collapsed="false">
      <c r="A31" s="68" t="s">
        <v>361</v>
      </c>
      <c r="B31" s="67" t="s">
        <v>362</v>
      </c>
      <c r="C31" s="67"/>
      <c r="D31" s="67"/>
      <c r="E31" s="67"/>
    </row>
    <row r="32" customFormat="false" ht="15" hidden="false" customHeight="false" outlineLevel="0" collapsed="false">
      <c r="A32" s="66" t="s">
        <v>363</v>
      </c>
      <c r="B32" s="69" t="s">
        <v>364</v>
      </c>
      <c r="C32" s="69"/>
      <c r="D32" s="69"/>
      <c r="E32" s="69"/>
    </row>
    <row r="34" customFormat="false" ht="15" hidden="false" customHeight="false" outlineLevel="0" collapsed="false">
      <c r="A34" s="36" t="s">
        <v>365</v>
      </c>
    </row>
  </sheetData>
  <mergeCells count="8">
    <mergeCell ref="A23:E23"/>
    <mergeCell ref="B26:E26"/>
    <mergeCell ref="B27:E27"/>
    <mergeCell ref="B28:E28"/>
    <mergeCell ref="B29:E29"/>
    <mergeCell ref="B30:E30"/>
    <mergeCell ref="B31:E31"/>
    <mergeCell ref="B32:E32"/>
  </mergeCells>
  <hyperlinks>
    <hyperlink ref="B26" r:id="rId1" display="https://www.kmcca.or.kr/images/pegs/down_file/2026%EB%85%84%20%EC%83%81%EB%B0%98%EA%B8%B0%EC%A0%81%EC%9A%A9%20%EA%B1%B4%EC%84%A4%EC%97%85%20%EC%9E%84%EA%B8%88%EC%8B%A4%ED%83%9C%EC%A1%B0%EC%82%AC%20%EB%B3%B4%EA%B3%A0%EC%84%9C.pdf"/>
    <hyperlink ref="B27" r:id="rId2" display="http://www.conslove.co.kr/news/articleView.html?idxno=89479"/>
    <hyperlink ref="B28" r:id="rId3" display="https://www.kosca21.or.kr/km_board/upload/km_b_notice/1767346180_02.pdf"/>
    <hyperlink ref="B29" r:id="rId4" display="https://biz.newdaily.co.kr/site/data/html/2026/05/07/2026050700116.html"/>
    <hyperlink ref="B30" r:id="rId5" display="https://04noti.com/construction-cost-ratio-guide/"/>
    <hyperlink ref="B31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2026-10-12T15:10:50Z</dcterms:created>
  <dc:creator>openpyxl</dc:creator>
  <dc:description/>
  <dc:language>en-US</dc:language>
  <cp:lastModifiedBy/>
  <dcterms:modified xsi:type="dcterms:W3CDTF">2026-10-12T15:10:50Z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