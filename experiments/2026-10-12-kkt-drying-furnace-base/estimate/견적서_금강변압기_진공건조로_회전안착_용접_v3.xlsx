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<sst xmlns="http://schemas.openxmlformats.org/spreadsheetml/2006/main" count="1354" uniqueCount="446">
  <si>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</si>
  <si>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</si>
  <si>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</si>
  <si>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</si>
  <si>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</si>
  <si>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</si>
  <si>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</si>
  <si>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</si>
  <si>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</si>
  <si>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</si>
  <si>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</si>
  <si>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</si>
  <si>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</si>
  <si>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</si>
  <si>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</si>
  <si>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</si>
  <si>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</si>
  <si>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</si>
  <si>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</si>
  <si>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</si>
  <si>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</si>
  <si>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</si>
  <si>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</si>
  <si>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WenQuanYi Zen Hei"/>
        <family val="2"/>
      </rPr>
      <t xml:space="preserve">총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착공일은 협의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</si>
  <si>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</si>
  <si>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</si>
  <si>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</si>
  <si>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</si>
  <si>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</si>
  <si>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</si>
  <si>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일금 칠천육백삼십사만육천육백원정</t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</si>
  <si>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</si>
  <si>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</si>
  <si>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</si>
  <si>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</si>
  <si>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</si>
  <si>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</si>
  <si>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</si>
  <si>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</si>
  <si>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</si>
  <si>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</si>
  <si>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</si>
  <si>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</si>
  <si>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</si>
  <si>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</si>
  <si>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</si>
  <si>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</si>
  <si>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</si>
  <si>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</si>
  <si>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</si>
  <si>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</si>
  <si>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</si>
  <si>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</si>
  <si>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</si>
  <si>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않습니다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</si>
  <si>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변경 시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</si>
  <si>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베이스 </t>
    </r>
    <r>
      <rPr>
        <sz val="9"/>
        <color rgb="FF000000"/>
        <rFont val="맑은 고딕"/>
        <family val="0"/>
        <charset val="1"/>
      </rPr>
      <t xml:space="preserve">H</t>
    </r>
    <r>
      <rPr>
        <sz val="9"/>
        <color rgb="FF000000"/>
        <rFont val="WenQuanYi Zen Hei"/>
        <family val="2"/>
      </rPr>
      <t xml:space="preserve">빔은 중고품 회수조건입니다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발주처가 베이스를 소유하는 경우 </t>
    </r>
    <r>
      <rPr>
        <sz val="9"/>
        <color rgb="FF000000"/>
        <rFont val="맑은 고딕"/>
        <family val="0"/>
        <charset val="1"/>
      </rPr>
      <t xml:space="preserve">2,584,083</t>
    </r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중고 구매가 기준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이 추가됩니다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</si>
  <si>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포함하지 않으며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요구 시 별도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</si>
  <si>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5. 1</t>
    </r>
    <r>
      <rPr>
        <sz val="9"/>
        <color rgb="FF000000"/>
        <rFont val="WenQuanYi Zen Hei"/>
        <family val="2"/>
      </rPr>
      <t xml:space="preserve">일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시간 기준이며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작업과 발주처 사유 대기는 별도 협의합니다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</si>
  <si>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따릅니다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</si>
  <si>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7. </t>
    </r>
    <r>
      <rPr>
        <sz val="9"/>
        <color rgb="FF000000"/>
        <rFont val="WenQuanYi Zen Hei"/>
        <family val="2"/>
      </rPr>
      <t xml:space="preserve">대안</t>
    </r>
    <r>
      <rPr>
        <sz val="9"/>
        <color rgb="FF000000"/>
        <rFont val="맑은 고딕"/>
        <family val="0"/>
        <charset val="1"/>
      </rPr>
      <t xml:space="preserve">(B</t>
    </r>
    <r>
      <rPr>
        <sz val="9"/>
        <color rgb="FF000000"/>
        <rFont val="WenQuanYi Zen Hei"/>
        <family val="2"/>
      </rPr>
      <t xml:space="preserve">안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기존 조방 개조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맑은 고딕"/>
        <family val="0"/>
        <charset val="1"/>
      </rPr>
      <t xml:space="preserve">90° </t>
    </r>
    <r>
      <rPr>
        <sz val="9"/>
        <color rgb="FF000000"/>
        <rFont val="WenQuanYi Zen Hei"/>
        <family val="2"/>
      </rPr>
      <t xml:space="preserve">회전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의 금액은 </t>
    </r>
    <r>
      <rPr>
        <sz val="9"/>
        <color rgb="FF000000"/>
        <rFont val="맑은 고딕"/>
        <family val="0"/>
        <charset val="1"/>
      </rPr>
      <t xml:space="preserve">AB</t>
    </r>
    <r>
      <rPr>
        <sz val="9"/>
        <color rgb="FF000000"/>
        <rFont val="WenQuanYi Zen Hei"/>
        <family val="2"/>
      </rPr>
      <t xml:space="preserve">비교 시트에 있습니다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</si>
  <si>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칸입니다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</si>
  <si>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</si>
  <si>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</si>
  <si>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</si>
  <si>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</si>
  <si>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</si>
  <si>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</si>
  <si>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</si>
  <si>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</si>
  <si>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</si>
  <si>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</si>
  <si>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</si>
  <si>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</si>
  <si>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</si>
  <si>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</si>
  <si>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</si>
  <si>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</si>
  <si>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</si>
  <si>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</si>
  <si>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</si>
  <si>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</si>
  <si>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</si>
  <si>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A</t>
    </r>
    <r>
      <rPr>
        <b val="true"/>
        <sz val="14"/>
        <color rgb="FF000000"/>
        <rFont val="WenQuanYi Zen Hei"/>
        <family val="2"/>
      </rPr>
      <t xml:space="preserve">안 </t>
    </r>
    <r>
      <rPr>
        <b val="true"/>
        <sz val="14"/>
        <color rgb="FF000000"/>
        <rFont val="맑은 고딕"/>
        <family val="0"/>
        <charset val="1"/>
      </rPr>
      <t xml:space="preserve">· B</t>
    </r>
    <r>
      <rPr>
        <b val="true"/>
        <sz val="14"/>
        <color rgb="FF000000"/>
        <rFont val="WenQuanYi Zen Hei"/>
        <family val="2"/>
      </rPr>
      <t xml:space="preserve">안 금액 비교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공급가액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부가세 별도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</si>
  <si>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</si>
  <si>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임시 베이스 </t>
    </r>
    <r>
      <rPr>
        <b val="true"/>
        <sz val="10"/>
        <color rgb="FFFFFFFF"/>
        <rFont val="맑은 고딕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밀착 이동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</si>
  <si>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조방 개조 </t>
    </r>
    <r>
      <rPr>
        <b val="true"/>
        <sz val="10"/>
        <color rgb="FFFFFFFF"/>
        <rFont val="맑은 고딕"/>
        <family val="0"/>
        <charset val="1"/>
      </rPr>
      <t xml:space="preserve">+ 90° </t>
    </r>
    <r>
      <rPr>
        <b val="true"/>
        <sz val="10"/>
        <color rgb="FFFFFFFF"/>
        <rFont val="WenQuanYi Zen Hei"/>
        <family val="2"/>
      </rPr>
      <t xml:space="preserve">회전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</si>
  <si>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 </t>
    </r>
    <r>
      <rPr>
        <b val="true"/>
        <sz val="10"/>
        <color rgb="FFFFFFFF"/>
        <rFont val="맑은 고딕"/>
        <family val="0"/>
        <charset val="1"/>
      </rPr>
      <t xml:space="preserve">(B − A)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</si>
  <si>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200t </t>
    </r>
    <r>
      <rPr>
        <sz val="10"/>
        <color rgb="FF000000"/>
        <rFont val="WenQuanYi Zen Hei"/>
        <family val="2"/>
      </rPr>
      <t xml:space="preserve">크레인 </t>
    </r>
    <r>
      <rPr>
        <sz val="10"/>
        <color rgb="FF000000"/>
        <rFont val="맑은 고딕"/>
        <family val="0"/>
        <charset val="1"/>
      </rPr>
      <t xml:space="preserve">+ 100t </t>
    </r>
    <r>
      <rPr>
        <sz val="10"/>
        <color rgb="FF000000"/>
        <rFont val="WenQuanYi Zen Hei"/>
        <family val="2"/>
      </rPr>
      <t xml:space="preserve">테일링 회전일 추가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밀착 이동 장비 없음</t>
    </r>
  </si>
  <si>
    <r>
      <rPr>
        <sz val="10"/>
        <color rgb="FF000000"/>
        <rFont val="WenQuanYi Zen Hei"/>
        <family val="2"/>
      </rPr>
      <t xml:space="preserve">같은 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장비로 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용접 후 회전해서 하부 용접</t>
    </r>
  </si>
  <si>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</si>
  <si>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신규 베이스 대신 조방 보강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추가</t>
    </r>
  </si>
  <si>
    <t xml:space="preserve">공급가액 계</t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</si>
  <si>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</t>
    </r>
    <r>
      <rPr>
        <sz val="9"/>
        <color rgb="FF555555"/>
        <rFont val="맑은 고딕"/>
        <family val="0"/>
        <charset val="1"/>
      </rPr>
      <t xml:space="preserve">200t </t>
    </r>
    <r>
      <rPr>
        <sz val="9"/>
        <color rgb="FF555555"/>
        <rFont val="WenQuanYi Zen Hei"/>
        <family val="2"/>
      </rPr>
      <t xml:space="preserve">크레인 단가는 업체 견적이 없어 사용자 제시 </t>
    </r>
    <r>
      <rPr>
        <sz val="9"/>
        <color rgb="FF555555"/>
        <rFont val="맑은 고딕"/>
        <family val="0"/>
        <charset val="1"/>
      </rPr>
      <t xml:space="preserve">100t·60t </t>
    </r>
    <r>
      <rPr>
        <sz val="9"/>
        <color rgb="FF555555"/>
        <rFont val="WenQuanYi Zen Hei"/>
        <family val="2"/>
      </rPr>
      <t xml:space="preserve">일대에서 톤급 비례로 외삽한 추정값이에요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회송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웨이트 운반은 별도 줄로 넣었어요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</si>
  <si>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회전은 일체 약 </t>
    </r>
    <r>
      <rPr>
        <sz val="9"/>
        <color rgb="FF555555"/>
        <rFont val="맑은 고딕"/>
        <family val="0"/>
        <charset val="1"/>
      </rPr>
      <t xml:space="preserve">83t(35t + 48t)</t>
    </r>
    <r>
      <rPr>
        <sz val="9"/>
        <color rgb="FF555555"/>
        <rFont val="WenQuanYi Zen Hei"/>
        <family val="2"/>
      </rPr>
      <t xml:space="preserve">을 모서리 기준으로 세우는 작업이라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실제 크레인 사양은 인양계획서와 구조검토로 정해야 해요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</si>
  <si>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회전 후 원래 자세로 되돌리는 회전이나 영구 받침이 필요하면 별도예요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</si>
  <si>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</si>
  <si>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연동돼요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가정값이에요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</si>
  <si>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</si>
  <si>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</si>
  <si>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</si>
  <si>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</si>
  <si>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</si>
  <si>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</si>
  <si>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</si>
  <si>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</si>
  <si>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</si>
  <si>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</si>
  <si>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가정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</si>
  <si>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</si>
  <si>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</si>
  <si>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</si>
  <si>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</si>
  <si>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</si>
  <si>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</si>
  <si>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</si>
  <si>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</si>
  <si>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</si>
  <si>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</si>
  <si>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</si>
  <si>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</si>
  <si>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</si>
  <si>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</si>
  <si>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</si>
  <si>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</si>
  <si>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</si>
  <si>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</si>
  <si>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</si>
  <si>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</si>
  <si>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</si>
  <si>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</si>
  <si>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</si>
  <si>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</si>
  <si>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</si>
  <si>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</si>
  <si>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</si>
  <si>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</si>
  <si>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</si>
  <si>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3,200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</si>
  <si>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</si>
  <si>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조공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</si>
  <si>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</si>
  <si>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</si>
  <si>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</si>
  <si>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</si>
  <si>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</si>
  <si>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출입통제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</t>
    </r>
  </si>
  <si>
    <r>
      <rPr>
        <sz val="10"/>
        <color rgb="FF000000"/>
        <rFont val="WenQuanYi Zen Hei"/>
        <family val="2"/>
      </rPr>
      <t xml:space="preserve">경광등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라바콘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차단봉</t>
    </r>
  </si>
  <si>
    <t xml:space="preserve">식대</t>
  </si>
  <si>
    <r>
      <rPr>
        <sz val="10"/>
        <color rgb="FF000000"/>
        <rFont val="WenQuanYi Zen Hei"/>
        <family val="2"/>
      </rPr>
      <t xml:space="preserve">중식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</si>
  <si>
    <r>
      <rPr>
        <sz val="10"/>
        <color rgb="FF000000"/>
        <rFont val="맑은 고딕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</si>
  <si>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t xml:space="preserve">출장 교통비</t>
  </si>
  <si>
    <r>
      <rPr>
        <sz val="10"/>
        <color rgb="FF000000"/>
        <rFont val="WenQuanYi Zen Hei"/>
        <family val="2"/>
      </rPr>
      <t xml:space="preserve">작업차량 유류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통행료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</si>
  <si>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</si>
  <si>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</si>
  <si>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</si>
  <si>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</si>
  <si>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</si>
  <si>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</si>
  <si>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</si>
  <si>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</si>
  <si>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</si>
  <si>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</si>
  <si>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</si>
  <si>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</si>
  <si>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</si>
  <si>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</si>
  <si>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</si>
  <si>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</si>
  <si>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</si>
  <si>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</si>
  <si>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</si>
  <si>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</si>
  <si>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</si>
  <si>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</si>
  <si>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</si>
  <si>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</si>
  <si>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</si>
  <si>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</si>
  <si>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</si>
  <si>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</si>
  <si>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</si>
  <si>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t xml:space="preserve">용접 소모품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</si>
  <si>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</si>
  <si>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용접재 </t>
    </r>
    <r>
      <rPr>
        <sz val="10"/>
        <color rgb="FF000000"/>
        <rFont val="맑은 고딕"/>
        <family val="0"/>
        <charset val="1"/>
      </rPr>
      <t xml:space="preserve">3,000,000 + </t>
    </r>
    <r>
      <rPr>
        <sz val="10"/>
        <color rgb="FF000000"/>
        <rFont val="WenQuanYi Zen Hei"/>
        <family val="2"/>
      </rPr>
      <t xml:space="preserve">전원 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 </t>
    </r>
    <r>
      <rPr>
        <sz val="10"/>
        <color rgb="FF000000"/>
        <rFont val="맑은 고딕"/>
        <family val="0"/>
        <charset val="1"/>
      </rPr>
      <t xml:space="preserve">680,000)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</si>
  <si>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사용자 지시로 분전반 항목 통합</t>
    </r>
  </si>
  <si>
    <t xml:space="preserve">작업발판 장비 대여</t>
  </si>
  <si>
    <r>
      <rPr>
        <sz val="10"/>
        <color rgb="FF000000"/>
        <rFont val="WenQuanYi Zen Hei"/>
        <family val="2"/>
      </rPr>
      <t xml:space="preserve">우마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사다리</t>
    </r>
    <r>
      <rPr>
        <sz val="10"/>
        <color rgb="FF000000"/>
        <rFont val="맑은 고딕"/>
        <family val="0"/>
        <charset val="1"/>
      </rPr>
      <t xml:space="preserve">·PT·</t>
    </r>
    <r>
      <rPr>
        <sz val="10"/>
        <color rgb="FF000000"/>
        <rFont val="WenQuanYi Zen Hei"/>
        <family val="2"/>
      </rPr>
      <t xml:space="preserve">아시바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</si>
  <si>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약 </t>
    </r>
    <r>
      <rPr>
        <sz val="10"/>
        <color rgb="FF000000"/>
        <rFont val="맑은 고딕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</si>
  <si>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</si>
  <si>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</si>
  <si>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</si>
  <si>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</si>
  <si>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</si>
  <si>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</si>
  <si>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</si>
  <si>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</si>
  <si>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</si>
  <si>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</si>
  <si>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</si>
  <si>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0"/>
        <color rgb="FF000000"/>
        <rFont val="WenQuanYi Zen Hei"/>
        <family val="2"/>
      </rPr>
      <t xml:space="preserve">그리스</t>
    </r>
    <r>
      <rPr>
        <sz val="10"/>
        <color rgb="FF000000"/>
        <rFont val="맑은 고딕"/>
        <family val="0"/>
        <charset val="1"/>
      </rPr>
      <t xml:space="preserve">·PTFE </t>
    </r>
    <r>
      <rPr>
        <sz val="10"/>
        <color rgb="FF000000"/>
        <rFont val="WenQuanYi Zen Hei"/>
        <family val="2"/>
      </rPr>
      <t xml:space="preserve">시트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</si>
  <si>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</si>
  <si>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</si>
  <si>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</si>
  <si>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</si>
  <si>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</si>
  <si>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</si>
  <si>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</si>
  <si>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</si>
  <si>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</si>
  <si>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</si>
  <si>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</si>
  <si>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</si>
  <si>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</si>
  <si>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</si>
  <si>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</si>
  <si>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</si>
  <si>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</si>
  <si>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</si>
  <si>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t xml:space="preserve">절단기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</si>
  <si>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 </t>
    </r>
    <r>
      <rPr>
        <sz val="10"/>
        <color rgb="FF000000"/>
        <rFont val="WenQuanYi Zen Hei"/>
        <family val="2"/>
      </rPr>
      <t xml:space="preserve">가스절단기</t>
    </r>
  </si>
  <si>
    <r>
      <rPr>
        <sz val="10"/>
        <color rgb="FF000000"/>
        <rFont val="맑은 고딕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</si>
  <si>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</si>
  <si>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</si>
  <si>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도비</t>
    </r>
  </si>
  <si>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준비</t>
    </r>
    <r>
      <rPr>
        <sz val="10"/>
        <color rgb="FF000000"/>
        <rFont val="맑은 고딕"/>
        <family val="0"/>
        <charset val="1"/>
      </rPr>
      <t xml:space="preserve">·90° </t>
    </r>
    <r>
      <rPr>
        <sz val="10"/>
        <color rgb="FF000000"/>
        <rFont val="WenQuanYi Zen Hei"/>
        <family val="2"/>
      </rPr>
      <t xml:space="preserve">회전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</si>
  <si>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단가 </t>
    </r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</si>
  <si>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</si>
  <si>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인양구역 통제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</si>
  <si>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</si>
  <si>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60TON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</si>
  <si>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 (90° </t>
    </r>
    <r>
      <rPr>
        <sz val="10"/>
        <color rgb="FF000000"/>
        <rFont val="WenQuanYi Zen Hei"/>
        <family val="2"/>
      </rPr>
      <t xml:space="preserve">회전 주 크레인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</si>
  <si>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100t 240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맑은 고딕"/>
        <family val="0"/>
        <charset val="1"/>
      </rPr>
      <t xml:space="preserve">+ (200 − 100)t × 1.75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/t ≈ 415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맑은 고딕"/>
        <family val="0"/>
        <charset val="1"/>
      </rPr>
      <t xml:space="preserve">(100t·60t </t>
    </r>
    <r>
      <rPr>
        <sz val="10"/>
        <color rgb="FF000000"/>
        <rFont val="WenQuanYi Zen Hei"/>
        <family val="2"/>
      </rPr>
      <t xml:space="preserve">단가 비례 외삽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</si>
  <si>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사용자 제시 단가 기준 외삽</t>
    </r>
  </si>
  <si>
    <r>
      <rPr>
        <sz val="10"/>
        <color rgb="FF000000"/>
        <rFont val="맑은 고딕"/>
        <family val="0"/>
        <charset val="1"/>
      </rPr>
      <t xml:space="preserve">200TON </t>
    </r>
    <r>
      <rPr>
        <sz val="10"/>
        <color rgb="FF000000"/>
        <rFont val="WenQuanYi Zen Hei"/>
        <family val="2"/>
      </rPr>
      <t xml:space="preserve">회송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웨이트 운반</t>
    </r>
  </si>
  <si>
    <t xml:space="preserve">카운터웨이트 트레일러 왕복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</si>
  <si>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회전 테일링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</si>
  <si>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회전용 대형 줄걸이</t>
  </si>
  <si>
    <r>
      <rPr>
        <sz val="10"/>
        <color rgb="FF000000"/>
        <rFont val="맑은 고딕"/>
        <family val="0"/>
        <charset val="1"/>
      </rPr>
      <t xml:space="preserve">100t</t>
    </r>
    <r>
      <rPr>
        <sz val="10"/>
        <color rgb="FF000000"/>
        <rFont val="WenQuanYi Zen Hei"/>
        <family val="2"/>
      </rPr>
      <t xml:space="preserve">급 샤클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슬링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스프레더 손료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</si>
  <si>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640,000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</si>
  <si>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회전 착지 깔목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고무판</t>
    </r>
  </si>
  <si>
    <r>
      <rPr>
        <sz val="10"/>
        <color rgb="FF000000"/>
        <rFont val="WenQuanYi Zen Hei"/>
        <family val="2"/>
      </rPr>
      <t xml:space="preserve">목재 받침 </t>
    </r>
    <r>
      <rPr>
        <sz val="10"/>
        <color rgb="FF000000"/>
        <rFont val="맑은 고딕"/>
        <family val="0"/>
        <charset val="1"/>
      </rPr>
      <t xml:space="preserve">300×300, </t>
    </r>
    <r>
      <rPr>
        <sz val="10"/>
        <color rgb="FF000000"/>
        <rFont val="WenQuanYi Zen Hei"/>
        <family val="2"/>
      </rPr>
      <t xml:space="preserve">고무판</t>
    </r>
  </si>
  <si>
    <t xml:space="preserve">와이어 보호대 등</t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</si>
  <si>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</t>
    </r>
  </si>
  <si>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</si>
  <si>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</si>
  <si>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용접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</si>
  <si>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</si>
  <si>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WenQuanYi Zen Hei"/>
        <family val="2"/>
      </rPr>
      <t xml:space="preserve">보강보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</si>
  <si>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H-200×200×8×12,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40m</t>
    </r>
  </si>
  <si>
    <r>
      <rPr>
        <sz val="10"/>
        <color rgb="FF000000"/>
        <rFont val="맑은 고딕"/>
        <family val="0"/>
        <charset val="1"/>
      </rPr>
      <t xml:space="preserve">40m × 49.9kg/m = 1,996kg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회수조건 단가 준용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</si>
  <si>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보강보 운임</t>
  </si>
  <si>
    <r>
      <rPr>
        <sz val="10"/>
        <color rgb="FF000000"/>
        <rFont val="WenQuanYi Zen Hei"/>
        <family val="2"/>
      </rPr>
      <t xml:space="preserve">반입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반출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</si>
  <si>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160,000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</si>
  <si>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운임 준용</t>
    </r>
  </si>
  <si>
    <t xml:space="preserve">배관 복구 자재</t>
  </si>
  <si>
    <r>
      <rPr>
        <sz val="10"/>
        <color rgb="FF000000"/>
        <rFont val="WenQuanYi Zen Hei"/>
        <family val="2"/>
      </rPr>
      <t xml:space="preserve">가스켓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볼트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너트</t>
    </r>
  </si>
  <si>
    <t xml:space="preserve">조방 보강보 취부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</si>
  <si>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</si>
  <si>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t xml:space="preserve">보강보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</si>
  <si>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450,000</t>
    </r>
    <r>
      <rPr>
        <sz val="10"/>
        <color rgb="FF000000"/>
        <rFont val="WenQuanYi Zen Hei"/>
        <family val="2"/>
      </rPr>
      <t xml:space="preserve">원</t>
    </r>
  </si>
  <si>
    <t xml:space="preserve">보조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</si>
  <si>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</si>
  <si>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화기작업 전담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</si>
  <si>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</si>
  <si>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t xml:space="preserve">배관공</t>
  </si>
  <si>
    <r>
      <rPr>
        <sz val="10"/>
        <color rgb="FF000000"/>
        <rFont val="WenQuanYi Zen Hei"/>
        <family val="2"/>
      </rPr>
      <t xml:space="preserve">바닥 접촉면 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</si>
  <si>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</si>
  <si>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공정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</si>
  <si>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플랜트배관공 </t>
    </r>
    <r>
      <rPr>
        <sz val="10"/>
        <color rgb="FF000000"/>
        <rFont val="맑은 고딕"/>
        <family val="0"/>
        <charset val="1"/>
      </rPr>
      <t xml:space="preserve">320,480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</si>
  <si>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배관 반출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</si>
  <si>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</si>
  <si>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</si>
  <si>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</si>
  <si>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</si>
  <si>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</si>
  <si>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</si>
  <si>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</si>
  <si>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</si>
  <si>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</si>
  <si>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</si>
  <si>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</si>
  <si>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</si>
  <si>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</si>
  <si>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</si>
  <si>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</si>
  <si>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</si>
  <si>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</si>
  <si>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</si>
  <si>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</si>
  <si>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</si>
  <si>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</si>
  <si>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</si>
  <si>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</si>
  <si>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</si>
  <si>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</si>
  <si>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21 +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펜스 </t>
    </r>
    <r>
      <rPr>
        <sz val="10"/>
        <color rgb="FF000000"/>
        <rFont val="맑은 고딕"/>
        <family val="0"/>
        <charset val="1"/>
      </rPr>
      <t xml:space="preserve">2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</si>
  <si>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</si>
  <si>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</si>
  <si>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</si>
  <si>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</si>
  <si>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</si>
  <si>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</si>
  <si>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</si>
  <si>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</si>
  <si>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12.0%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</si>
  <si>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</si>
  <si>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</si>
  <si>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있습니다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</si>
  <si>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맑은 고딕"/>
        <family val="0"/>
        <charset val="1"/>
      </rPr>
      <t xml:space="preserve">※ 1</t>
    </r>
    <r>
      <rPr>
        <sz val="9"/>
        <color rgb="FF555555"/>
        <rFont val="WenQuanYi Zen Hei"/>
        <family val="2"/>
      </rPr>
      <t xml:space="preserve">일 </t>
    </r>
    <r>
      <rPr>
        <sz val="9"/>
        <color rgb="FF555555"/>
        <rFont val="맑은 고딕"/>
        <family val="0"/>
        <charset val="1"/>
      </rPr>
      <t xml:space="preserve">8</t>
    </r>
    <r>
      <rPr>
        <sz val="9"/>
        <color rgb="FF555555"/>
        <rFont val="WenQuanYi Zen Hei"/>
        <family val="2"/>
      </rPr>
      <t xml:space="preserve">시간 기준입니다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 작업 시 별도 협의합니다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</si>
  <si>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</si>
  <si>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</si>
  <si>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</si>
  <si>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</si>
  <si>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</si>
  <si>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</si>
  <si>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임시 분전반 비용 포함</t>
  </si>
  <si>
    <r>
      <rPr>
        <sz val="10"/>
        <color rgb="FF000000"/>
        <rFont val="WenQuanYi Zen Hei"/>
        <family val="2"/>
      </rPr>
      <t xml:space="preserve">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하부 접근</t>
    </r>
  </si>
  <si>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15 + 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8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5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</si>
  <si>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</si>
  <si>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</si>
  <si>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</si>
  <si>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</si>
  <si>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</si>
  <si>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t xml:space="preserve">밀착 이동용 레일 상면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</si>
  <si>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</si>
  <si>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</si>
  <si>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</si>
  <si>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제작 </t>
    </r>
    <r>
      <rPr>
        <sz val="10"/>
        <color rgb="FF000000"/>
        <rFont val="맑은 고딕"/>
        <family val="0"/>
        <charset val="1"/>
      </rPr>
      <t xml:space="preserve">12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3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</si>
  <si>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조방 안착</t>
    </r>
    <r>
      <rPr>
        <b val="true"/>
        <sz val="11"/>
        <color rgb="FF000000"/>
        <rFont val="맑은 고딕"/>
        <family val="0"/>
        <charset val="1"/>
      </rPr>
      <t xml:space="preserve">(100t·60t) + </t>
    </r>
    <r>
      <rPr>
        <b val="true"/>
        <sz val="11"/>
        <color rgb="FF000000"/>
        <rFont val="WenQuanYi Zen Hei"/>
        <family val="2"/>
      </rPr>
      <t xml:space="preserve">전체 </t>
    </r>
    <r>
      <rPr>
        <b val="true"/>
        <sz val="11"/>
        <color rgb="FF000000"/>
        <rFont val="맑은 고딕"/>
        <family val="0"/>
        <charset val="1"/>
      </rPr>
      <t xml:space="preserve">90° </t>
    </r>
    <r>
      <rPr>
        <b val="true"/>
        <sz val="11"/>
        <color rgb="FF000000"/>
        <rFont val="WenQuanYi Zen Hei"/>
        <family val="2"/>
      </rPr>
      <t xml:space="preserve">회전</t>
    </r>
    <r>
      <rPr>
        <b val="true"/>
        <sz val="11"/>
        <color rgb="FF000000"/>
        <rFont val="맑은 고딕"/>
        <family val="0"/>
        <charset val="1"/>
      </rPr>
      <t xml:space="preserve">(200t </t>
    </r>
    <r>
      <rPr>
        <b val="true"/>
        <sz val="11"/>
        <color rgb="FF000000"/>
        <rFont val="WenQuanYi Zen Hei"/>
        <family val="2"/>
      </rPr>
      <t xml:space="preserve">주 </t>
    </r>
    <r>
      <rPr>
        <b val="true"/>
        <sz val="11"/>
        <color rgb="FF000000"/>
        <rFont val="맑은 고딕"/>
        <family val="0"/>
        <charset val="1"/>
      </rPr>
      <t xml:space="preserve">+ 100t </t>
    </r>
    <r>
      <rPr>
        <b val="true"/>
        <sz val="11"/>
        <color rgb="FF000000"/>
        <rFont val="WenQuanYi Zen Hei"/>
        <family val="2"/>
      </rPr>
      <t xml:space="preserve">테일링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안전펜스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</si>
  <si>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회전 준비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회전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</si>
  <si>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</si>
  <si>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안착일</t>
  </si>
  <si>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일체 약 </t>
    </r>
    <r>
      <rPr>
        <sz val="10"/>
        <color rgb="FF000000"/>
        <rFont val="맑은 고딕"/>
        <family val="0"/>
        <charset val="1"/>
      </rPr>
      <t xml:space="preserve">83t</t>
    </r>
  </si>
  <si>
    <t xml:space="preserve">대형 크레인 부대비</t>
  </si>
  <si>
    <t xml:space="preserve">회전 시 하단 잡아주기</t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</si>
  <si>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</si>
  <si>
    <t xml:space="preserve">회전 후 착지면 보호</t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</si>
  <si>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</si>
  <si>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21 +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4 +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펜스 </t>
    </r>
    <r>
      <rPr>
        <sz val="10"/>
        <color rgb="FF000000"/>
        <rFont val="맑은 고딕"/>
        <family val="0"/>
        <charset val="1"/>
      </rPr>
      <t xml:space="preserve">2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</si>
  <si>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사상</t>
    </r>
    <r>
      <rPr>
        <b val="true"/>
        <sz val="11"/>
        <color rgb="FF000000"/>
        <rFont val="맑은 고딕"/>
        <family val="0"/>
        <charset val="1"/>
      </rPr>
      <t xml:space="preserve">, </t>
    </r>
    <r>
      <rPr>
        <b val="true"/>
        <sz val="11"/>
        <color rgb="FF000000"/>
        <rFont val="WenQuanYi Zen Hei"/>
        <family val="2"/>
      </rPr>
      <t xml:space="preserve">상부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측면 용접 → 회전 후 하부 용접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</si>
  <si>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기존 조방 </t>
    </r>
    <r>
      <rPr>
        <b val="true"/>
        <sz val="11"/>
        <color rgb="FF000000"/>
        <rFont val="맑은 고딕"/>
        <family val="0"/>
        <charset val="1"/>
      </rPr>
      <t xml:space="preserve">7×3m </t>
    </r>
    <r>
      <rPr>
        <b val="true"/>
        <sz val="11"/>
        <color rgb="FF000000"/>
        <rFont val="WenQuanYi Zen Hei"/>
        <family val="2"/>
      </rPr>
      <t xml:space="preserve">개조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보강보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바닥 접촉면 배관 제거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</si>
  <si>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40m × 49.9kg/m, </t>
    </r>
    <r>
      <rPr>
        <sz val="10"/>
        <color rgb="FF000000"/>
        <rFont val="WenQuanYi Zen Hei"/>
        <family val="2"/>
      </rPr>
      <t xml:space="preserve">공사 후 회수</t>
    </r>
  </si>
  <si>
    <t xml:space="preserve">제거한 배관 재조립용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</si>
  <si>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</si>
  <si>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복구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</si>
  <si>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</si>
  <si>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조방 개조 </t>
    </r>
    <r>
      <rPr>
        <sz val="10"/>
        <color rgb="FF000000"/>
        <rFont val="맑은 고딕"/>
        <family val="0"/>
        <charset val="1"/>
      </rPr>
      <t xml:space="preserve">10 + </t>
    </r>
    <r>
      <rPr>
        <sz val="10"/>
        <color rgb="FF000000"/>
        <rFont val="WenQuanYi Zen Hei"/>
        <family val="2"/>
      </rPr>
      <t xml:space="preserve">배관 </t>
    </r>
    <r>
      <rPr>
        <sz val="10"/>
        <color rgb="FF000000"/>
        <rFont val="맑은 고딕"/>
        <family val="0"/>
        <charset val="1"/>
      </rPr>
      <t xml:space="preserve">4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</si>
  <si>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</si>
  <si>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</si>
  <si>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</si>
  <si>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</si>
  <si>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</si>
  <si>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</si>
  <si>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</si>
  <si>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</si>
  <si>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</si>
  <si>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</si>
  <si>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</si>
  <si>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</si>
  <si>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</si>
  <si>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</si>
  <si>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</si>
  <si>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</si>
  <si>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구조물이라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도장은 하지 않아요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</si>
  <si>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총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</si>
  <si>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</si>
  <si>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</si>
  <si>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</si>
  <si>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</si>
  <si>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</si>
  <si>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</si>
  <si>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</si>
  <si>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</si>
  <si>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</si>
  <si>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</si>
  <si>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</si>
  <si>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</si>
  <si>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</si>
  <si>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</si>
  <si>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</si>
  <si>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</si>
  <si>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</si>
  <si>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</si>
  <si>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</si>
  <si>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</si>
  <si>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</si>
  <si>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</si>
  <si>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</si>
  <si>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</si>
  <si>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</si>
  <si>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</si>
  <si>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사용자 제시 공정 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베이스를 공장에서 먼저 제작하면 현장 공기를 줄일 수 있어요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</si>
  <si>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</si>
  <si>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바꾸면 모든 공종 시트와 견적서가 다시 계산돼요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</si>
  <si>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</si>
  <si>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</si>
  <si>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</si>
  <si>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</si>
  <si>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</si>
  <si>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</si>
  <si>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</si>
  <si>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</si>
  <si>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</si>
  <si>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</si>
  <si>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</si>
  <si>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</si>
  <si>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</si>
  <si>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</si>
  <si>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</si>
  <si>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</si>
  <si>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</si>
  <si>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</si>
  <si>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조방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</si>
  <si>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</si>
  <si>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</si>
  <si>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</si>
  <si>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</si>
  <si>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</si>
  <si>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</si>
  <si>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</si>
  <si>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</si>
  <si>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</si>
  <si>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</si>
  <si>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</si>
  <si>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</si>
  <si>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</si>
  <si>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</si>
  <si>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</si>
  <si>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</si>
  <si>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잡았어요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</si>
  <si>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</si>
  <si>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</si>
  <si>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</si>
  <si>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</si>
  <si>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</si>
  <si>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</si>
  <si>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</si>
  <si>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</si>
  <si>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</si>
  <si>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</si>
  <si>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</si>
  <si>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</si>
  <si>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</si>
  <si>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</si>
  <si>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다시 확인하세요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</si>
</sst>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8" t="s">
        <v>23</v>
      </c>
      <c r="C11" s="8"/>
      <c r="D11" s="8"/>
      <c r="E11" s="8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s">
        <v>30</v>
      </c>
      <c r="D16" s="12"/>
      <c r="E16" s="12"/>
      <c r="F16" s="12"/>
      <c r="G16" s="13" t="n">
        <f aca="false">원가계산서!E18</f>
        <v>76346600</v>
      </c>
      <c r="H16" s="13"/>
      <c r="I16" s="13"/>
    </row>
    <row r="18" customFormat="false" ht="15" hidden="false" customHeight="true" outlineLevel="0" collapsed="false">
      <c r="A18" s="14" t="s">
        <v>31</v>
      </c>
      <c r="B18" s="15" t="s">
        <v>32</v>
      </c>
      <c r="C18" s="15"/>
      <c r="D18" s="15" t="s">
        <v>33</v>
      </c>
      <c r="E18" s="15"/>
      <c r="F18" s="15"/>
      <c r="G18" s="15" t="s">
        <v>34</v>
      </c>
      <c r="H18" s="15" t="s">
        <v>35</v>
      </c>
      <c r="I18" s="15" t="s">
        <v>36</v>
      </c>
    </row>
    <row r="19" customFormat="false" ht="24" hidden="false" customHeight="true" outlineLevel="0" collapsed="false">
      <c r="A19" s="16" t="s">
        <v>37</v>
      </c>
      <c r="B19" s="17" t="s">
        <v>38</v>
      </c>
      <c r="C19" s="17"/>
      <c r="D19" s="8" t="s">
        <v>39</v>
      </c>
      <c r="E19" s="8"/>
      <c r="F19" s="8"/>
      <c r="G19" s="17" t="s">
        <v>40</v>
      </c>
      <c r="H19" s="18" t="n">
        <f aca="false">도비!$G$33</f>
        <v>26114000</v>
      </c>
      <c r="I19" s="8" t="s">
        <v>41</v>
      </c>
    </row>
    <row r="20" customFormat="false" ht="24" hidden="false" customHeight="true" outlineLevel="0" collapsed="false">
      <c r="A20" s="16" t="s">
        <v>42</v>
      </c>
      <c r="B20" s="17" t="s">
        <v>43</v>
      </c>
      <c r="C20" s="17"/>
      <c r="D20" s="8" t="s">
        <v>44</v>
      </c>
      <c r="E20" s="8"/>
      <c r="F20" s="8"/>
      <c r="G20" s="17" t="s">
        <v>40</v>
      </c>
      <c r="H20" s="18" t="n">
        <f aca="false">용접!$G$29</f>
        <v>23795000</v>
      </c>
      <c r="I20" s="8" t="s">
        <v>45</v>
      </c>
    </row>
    <row r="21" customFormat="false" ht="24" hidden="false" customHeight="true" outlineLevel="0" collapsed="false">
      <c r="A21" s="16" t="s">
        <v>46</v>
      </c>
      <c r="B21" s="17" t="s">
        <v>47</v>
      </c>
      <c r="C21" s="17"/>
      <c r="D21" s="8" t="s">
        <v>48</v>
      </c>
      <c r="E21" s="8"/>
      <c r="F21" s="8"/>
      <c r="G21" s="17" t="s">
        <v>40</v>
      </c>
      <c r="H21" s="18" t="n">
        <f aca="false">베이스!$G$34</f>
        <v>19497000</v>
      </c>
      <c r="I21" s="8" t="s">
        <v>49</v>
      </c>
    </row>
    <row r="22" customFormat="false" ht="24" hidden="false" customHeight="true" outlineLevel="0" collapsed="false">
      <c r="A22" s="3" t="s">
        <v>50</v>
      </c>
      <c r="B22" s="3"/>
      <c r="C22" s="3"/>
      <c r="D22" s="3"/>
      <c r="E22" s="3"/>
      <c r="F22" s="3"/>
      <c r="G22" s="3"/>
      <c r="H22" s="19" t="n">
        <f aca="false">SUM(H19:H21)</f>
        <v>69406000</v>
      </c>
      <c r="I22" s="20"/>
    </row>
    <row r="23" customFormat="false" ht="24" hidden="false" customHeight="true" outlineLevel="0" collapsed="false">
      <c r="A23" s="3" t="s">
        <v>51</v>
      </c>
      <c r="B23" s="3"/>
      <c r="C23" s="3"/>
      <c r="D23" s="3"/>
      <c r="E23" s="3"/>
      <c r="F23" s="3"/>
      <c r="G23" s="3"/>
      <c r="H23" s="19" t="n">
        <f aca="false">H22*0.1</f>
        <v>6940600</v>
      </c>
      <c r="I23" s="20"/>
    </row>
    <row r="24" customFormat="false" ht="24" hidden="false" customHeight="true" outlineLevel="0" collapsed="false">
      <c r="A24" s="21" t="s">
        <v>52</v>
      </c>
      <c r="B24" s="21"/>
      <c r="C24" s="21"/>
      <c r="D24" s="21"/>
      <c r="E24" s="21"/>
      <c r="F24" s="21"/>
      <c r="G24" s="21"/>
      <c r="H24" s="22" t="n">
        <f aca="false">H22+H23</f>
        <v>76346600</v>
      </c>
      <c r="I24" s="7"/>
    </row>
    <row r="26" customFormat="false" ht="15" hidden="false" customHeight="false" outlineLevel="0" collapsed="false">
      <c r="A26" s="23" t="s">
        <v>53</v>
      </c>
    </row>
    <row r="27" customFormat="false" ht="18" hidden="false" customHeight="true" outlineLevel="0" collapsed="false">
      <c r="A27" s="24" t="s">
        <v>54</v>
      </c>
      <c r="B27" s="24"/>
      <c r="C27" s="24"/>
      <c r="D27" s="24"/>
      <c r="E27" s="24"/>
      <c r="F27" s="24"/>
      <c r="G27" s="24"/>
      <c r="H27" s="24"/>
      <c r="I27" s="24"/>
    </row>
    <row r="28" customFormat="false" ht="18" hidden="false" customHeight="true" outlineLevel="0" collapsed="false">
      <c r="A28" s="24" t="s">
        <v>55</v>
      </c>
      <c r="B28" s="24"/>
      <c r="C28" s="24"/>
      <c r="D28" s="24"/>
      <c r="E28" s="24"/>
      <c r="F28" s="24"/>
      <c r="G28" s="24"/>
      <c r="H28" s="24"/>
      <c r="I28" s="24"/>
    </row>
    <row r="29" customFormat="false" ht="18" hidden="false" customHeight="true" outlineLevel="0" collapsed="false">
      <c r="A29" s="24" t="s">
        <v>56</v>
      </c>
      <c r="B29" s="24"/>
      <c r="C29" s="24"/>
      <c r="D29" s="24"/>
      <c r="E29" s="24"/>
      <c r="F29" s="24"/>
      <c r="G29" s="24"/>
      <c r="H29" s="24"/>
      <c r="I29" s="24"/>
    </row>
    <row r="30" customFormat="false" ht="18" hidden="false" customHeight="true" outlineLevel="0" collapsed="false">
      <c r="A30" s="24" t="s">
        <v>57</v>
      </c>
      <c r="B30" s="24"/>
      <c r="C30" s="24"/>
      <c r="D30" s="24"/>
      <c r="E30" s="24"/>
      <c r="F30" s="24"/>
      <c r="G30" s="24"/>
      <c r="H30" s="24"/>
      <c r="I30" s="24"/>
    </row>
    <row r="31" customFormat="false" ht="18" hidden="false" customHeight="true" outlineLevel="0" collapsed="false">
      <c r="A31" s="24" t="s">
        <v>58</v>
      </c>
      <c r="B31" s="24"/>
      <c r="C31" s="24"/>
      <c r="D31" s="24"/>
      <c r="E31" s="24"/>
      <c r="F31" s="24"/>
      <c r="G31" s="24"/>
      <c r="H31" s="24"/>
      <c r="I31" s="24"/>
    </row>
    <row r="32" customFormat="false" ht="18" hidden="false" customHeight="true" outlineLevel="0" collapsed="false">
      <c r="A32" s="24" t="s">
        <v>59</v>
      </c>
      <c r="B32" s="24"/>
      <c r="C32" s="24"/>
      <c r="D32" s="24"/>
      <c r="E32" s="24"/>
      <c r="F32" s="24"/>
      <c r="G32" s="24"/>
      <c r="H32" s="24"/>
      <c r="I32" s="24"/>
    </row>
    <row r="33" customFormat="false" ht="18" hidden="false" customHeight="true" outlineLevel="0" collapsed="false">
      <c r="A33" s="24" t="s">
        <v>60</v>
      </c>
      <c r="B33" s="24"/>
      <c r="C33" s="24"/>
      <c r="D33" s="24"/>
      <c r="E33" s="24"/>
      <c r="F33" s="24"/>
      <c r="G33" s="24"/>
      <c r="H33" s="24"/>
      <c r="I33" s="24"/>
    </row>
    <row r="35" customFormat="false" ht="15" hidden="false" customHeight="false" outlineLevel="0" collapsed="false">
      <c r="A35" s="25" t="s">
        <v>61</v>
      </c>
    </row>
  </sheetData>
  <mergeCells count="35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F16"/>
    <mergeCell ref="G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  <mergeCell ref="A33:I33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6" t="s">
        <v>62</v>
      </c>
      <c r="B1" s="26"/>
      <c r="C1" s="26"/>
      <c r="D1" s="26"/>
      <c r="E1" s="26"/>
      <c r="F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</row>
    <row r="3" customFormat="false" ht="15" hidden="false" customHeight="true" outlineLevel="0" collapsed="false">
      <c r="A3" s="27" t="s">
        <v>63</v>
      </c>
      <c r="B3" s="27"/>
      <c r="C3" s="27"/>
      <c r="D3" s="27"/>
      <c r="E3" s="27"/>
      <c r="F3" s="27"/>
    </row>
    <row r="5" customFormat="false" ht="15" hidden="false" customHeight="false" outlineLevel="0" collapsed="false">
      <c r="A5" s="15" t="s">
        <v>64</v>
      </c>
      <c r="B5" s="15" t="s">
        <v>65</v>
      </c>
      <c r="C5" s="15" t="s">
        <v>66</v>
      </c>
      <c r="D5" s="15" t="s">
        <v>67</v>
      </c>
      <c r="E5" s="15" t="s">
        <v>68</v>
      </c>
      <c r="F5" s="15" t="s">
        <v>69</v>
      </c>
    </row>
    <row r="6" customFormat="false" ht="21.75" hidden="false" customHeight="true" outlineLevel="0" collapsed="false">
      <c r="A6" s="28" t="s">
        <v>70</v>
      </c>
      <c r="B6" s="18" t="n">
        <f aca="false">도비!$G$23</f>
        <v>1380000</v>
      </c>
      <c r="C6" s="18" t="n">
        <f aca="false">용접!$G$19</f>
        <v>3680000</v>
      </c>
      <c r="D6" s="18" t="n">
        <f aca="false">베이스!$G$24</f>
        <v>9233700</v>
      </c>
      <c r="E6" s="29" t="n">
        <f aca="false">SUM(B6:D6)</f>
        <v>14293700</v>
      </c>
      <c r="F6" s="30" t="n">
        <f aca="false">E6/$E$16</f>
        <v>0.205943290205458</v>
      </c>
    </row>
    <row r="7" customFormat="false" ht="21.75" hidden="false" customHeight="true" outlineLevel="0" collapsed="false">
      <c r="A7" s="28" t="s">
        <v>71</v>
      </c>
      <c r="B7" s="18" t="n">
        <f aca="false">도비!$G$24</f>
        <v>8180000</v>
      </c>
      <c r="C7" s="18" t="n">
        <f aca="false">용접!$G$20</f>
        <v>9280000</v>
      </c>
      <c r="D7" s="18" t="n">
        <f aca="false">베이스!$G$25</f>
        <v>4680000</v>
      </c>
      <c r="E7" s="29" t="n">
        <f aca="false">SUM(B7:D7)</f>
        <v>22140000</v>
      </c>
      <c r="F7" s="30" t="n">
        <f aca="false">E7/$E$16</f>
        <v>0.318992594300205</v>
      </c>
    </row>
    <row r="8" customFormat="false" ht="21.75" hidden="false" customHeight="true" outlineLevel="0" collapsed="false">
      <c r="A8" s="28" t="s">
        <v>72</v>
      </c>
      <c r="B8" s="18" t="n">
        <f aca="false">도비!$G$25</f>
        <v>12104400</v>
      </c>
      <c r="C8" s="18" t="n">
        <f aca="false">용접!$G$21</f>
        <v>6810000</v>
      </c>
      <c r="D8" s="18" t="n">
        <f aca="false">베이스!$G$26</f>
        <v>2955000</v>
      </c>
      <c r="E8" s="29" t="n">
        <f aca="false">SUM(B8:D8)</f>
        <v>21869400</v>
      </c>
      <c r="F8" s="30" t="n">
        <f aca="false">E8/$E$16</f>
        <v>0.315093795925424</v>
      </c>
    </row>
    <row r="9" customFormat="false" ht="21.75" hidden="false" customHeight="true" outlineLevel="0" collapsed="false">
      <c r="A9" s="28" t="s">
        <v>73</v>
      </c>
      <c r="B9" s="18" t="n">
        <f aca="false">도비!$G$26</f>
        <v>291208</v>
      </c>
      <c r="C9" s="18" t="n">
        <f aca="false">용접!$G$22</f>
        <v>330368</v>
      </c>
      <c r="D9" s="18" t="n">
        <f aca="false">베이스!$G$27</f>
        <v>166608</v>
      </c>
      <c r="E9" s="29" t="n">
        <f aca="false">SUM(B9:D9)</f>
        <v>788184</v>
      </c>
      <c r="F9" s="30" t="n">
        <f aca="false">E9/$E$16</f>
        <v>0.0113561363570873</v>
      </c>
    </row>
    <row r="10" customFormat="false" ht="21.75" hidden="false" customHeight="true" outlineLevel="0" collapsed="false">
      <c r="A10" s="28" t="s">
        <v>74</v>
      </c>
      <c r="B10" s="18" t="n">
        <f aca="false">도비!$G$27</f>
        <v>94070</v>
      </c>
      <c r="C10" s="18" t="n">
        <f aca="false">용접!$G$23</f>
        <v>106720</v>
      </c>
      <c r="D10" s="18" t="n">
        <f aca="false">베이스!$G$28</f>
        <v>53820</v>
      </c>
      <c r="E10" s="29" t="n">
        <f aca="false">SUM(B10:D10)</f>
        <v>254610</v>
      </c>
      <c r="F10" s="30" t="n">
        <f aca="false">E10/$E$16</f>
        <v>0.00366841483445235</v>
      </c>
    </row>
    <row r="11" customFormat="false" ht="21.75" hidden="false" customHeight="true" outlineLevel="0" collapsed="false">
      <c r="A11" s="28" t="s">
        <v>75</v>
      </c>
      <c r="B11" s="18" t="n">
        <f aca="false">도비!$G$28</f>
        <v>297316</v>
      </c>
      <c r="C11" s="18" t="n">
        <f aca="false">용접!$G$24</f>
        <v>403056</v>
      </c>
      <c r="D11" s="18" t="n">
        <f aca="false">베이스!$G$29</f>
        <v>432716.07</v>
      </c>
      <c r="E11" s="29" t="n">
        <f aca="false">SUM(B11:D11)</f>
        <v>1133088.07</v>
      </c>
      <c r="F11" s="30" t="n">
        <f aca="false">E11/$E$16</f>
        <v>0.0163255060081261</v>
      </c>
    </row>
    <row r="12" customFormat="false" ht="21.75" hidden="false" customHeight="true" outlineLevel="0" collapsed="false">
      <c r="A12" s="3" t="s">
        <v>76</v>
      </c>
      <c r="B12" s="31" t="n">
        <f aca="false">도비!$G$29</f>
        <v>22346994</v>
      </c>
      <c r="C12" s="31" t="n">
        <f aca="false">용접!$G$25</f>
        <v>20610144</v>
      </c>
      <c r="D12" s="31" t="n">
        <f aca="false">베이스!$G$30</f>
        <v>17521844.07</v>
      </c>
      <c r="E12" s="19" t="n">
        <f aca="false">SUM(B12:D12)</f>
        <v>60478982.07</v>
      </c>
      <c r="F12" s="32" t="n">
        <f aca="false">E12/$E$16</f>
        <v>0.871379737630752</v>
      </c>
    </row>
    <row r="13" customFormat="false" ht="21.75" hidden="false" customHeight="true" outlineLevel="0" collapsed="false">
      <c r="A13" s="28" t="s">
        <v>77</v>
      </c>
      <c r="B13" s="18" t="n">
        <f aca="false">도비!$G$30</f>
        <v>1117349.7</v>
      </c>
      <c r="C13" s="18" t="n">
        <f aca="false">용접!$G$26</f>
        <v>1030507.2</v>
      </c>
      <c r="D13" s="18" t="n">
        <f aca="false">베이스!$G$31</f>
        <v>876092.2035</v>
      </c>
      <c r="E13" s="29" t="n">
        <f aca="false">SUM(B13:D13)</f>
        <v>3023949.1035</v>
      </c>
      <c r="F13" s="30" t="n">
        <f aca="false">E13/$E$16</f>
        <v>0.0435689868815376</v>
      </c>
    </row>
    <row r="14" customFormat="false" ht="21.75" hidden="false" customHeight="true" outlineLevel="0" collapsed="false">
      <c r="A14" s="28" t="s">
        <v>78</v>
      </c>
      <c r="B14" s="18" t="n">
        <f aca="false">도비!$G$31</f>
        <v>2650121.244</v>
      </c>
      <c r="C14" s="18" t="n">
        <f aca="false">용접!$G$27</f>
        <v>2155278.144</v>
      </c>
      <c r="D14" s="18" t="n">
        <f aca="false">베이스!$G$32</f>
        <v>1099708.35282</v>
      </c>
      <c r="E14" s="29" t="n">
        <f aca="false">SUM(B14:D14)</f>
        <v>5905107.74082</v>
      </c>
      <c r="F14" s="30" t="n">
        <f aca="false">E14/$E$16</f>
        <v>0.0850806521168199</v>
      </c>
    </row>
    <row r="15" customFormat="false" ht="21.75" hidden="false" customHeight="true" outlineLevel="0" collapsed="false">
      <c r="A15" s="28" t="s">
        <v>79</v>
      </c>
      <c r="B15" s="18" t="n">
        <f aca="false">도비!$G$32</f>
        <v>-464.943999998271</v>
      </c>
      <c r="C15" s="18" t="n">
        <f aca="false">용접!$G$28</f>
        <v>-929.344000000507</v>
      </c>
      <c r="D15" s="18" t="n">
        <f aca="false">베이스!$G$33</f>
        <v>-644.626320000738</v>
      </c>
      <c r="E15" s="29" t="n">
        <f aca="false">SUM(B15:D15)</f>
        <v>-2038.91431999952</v>
      </c>
      <c r="F15" s="30" t="n">
        <f aca="false">E15/$E$16</f>
        <v>-2.93766291098683E-005</v>
      </c>
    </row>
    <row r="16" customFormat="false" ht="21.75" hidden="false" customHeight="true" outlineLevel="0" collapsed="false">
      <c r="A16" s="3" t="s">
        <v>35</v>
      </c>
      <c r="B16" s="31" t="n">
        <f aca="false">도비!$G$33</f>
        <v>26114000</v>
      </c>
      <c r="C16" s="31" t="n">
        <f aca="false">용접!$G$29</f>
        <v>23795000</v>
      </c>
      <c r="D16" s="31" t="n">
        <f aca="false">베이스!$G$34</f>
        <v>19497000</v>
      </c>
      <c r="E16" s="19" t="n">
        <f aca="false">SUM(B16:D16)</f>
        <v>69406000</v>
      </c>
      <c r="F16" s="32" t="n">
        <f aca="false">E16/$E$16</f>
        <v>1</v>
      </c>
    </row>
    <row r="17" customFormat="false" ht="15" hidden="false" customHeight="false" outlineLevel="0" collapsed="false">
      <c r="A17" s="17" t="s">
        <v>80</v>
      </c>
      <c r="B17" s="33"/>
      <c r="C17" s="33"/>
      <c r="D17" s="33"/>
      <c r="E17" s="33" t="n">
        <f aca="false">E16*0.1</f>
        <v>6940600</v>
      </c>
      <c r="F17" s="33"/>
    </row>
    <row r="18" customFormat="false" ht="15" hidden="false" customHeight="false" outlineLevel="0" collapsed="false">
      <c r="A18" s="21" t="s">
        <v>81</v>
      </c>
      <c r="B18" s="22"/>
      <c r="C18" s="22"/>
      <c r="D18" s="22"/>
      <c r="E18" s="22" t="n">
        <f aca="false">E16+E17</f>
        <v>76346600</v>
      </c>
      <c r="F18" s="22"/>
    </row>
    <row r="20" customFormat="false" ht="30" hidden="false" customHeight="true" outlineLevel="0" collapsed="false">
      <c r="A20" s="34" t="s">
        <v>82</v>
      </c>
      <c r="B20" s="34"/>
      <c r="C20" s="34"/>
      <c r="D20" s="34"/>
      <c r="E20" s="34"/>
      <c r="F20" s="34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9.4" hidden="false" customHeight="false" outlineLevel="0" collapsed="false">
      <c r="A1" s="35" t="s">
        <v>83</v>
      </c>
      <c r="B1" s="35"/>
      <c r="C1" s="35"/>
      <c r="D1" s="35"/>
      <c r="E1" s="35"/>
    </row>
    <row r="3" customFormat="false" ht="26.85" hidden="false" customHeight="false" outlineLevel="0" collapsed="false">
      <c r="A3" s="15" t="s">
        <v>84</v>
      </c>
      <c r="B3" s="14" t="s">
        <v>85</v>
      </c>
      <c r="C3" s="14" t="s">
        <v>86</v>
      </c>
      <c r="D3" s="15" t="s">
        <v>87</v>
      </c>
      <c r="E3" s="15" t="s">
        <v>36</v>
      </c>
    </row>
    <row r="4" customFormat="false" ht="30" hidden="false" customHeight="true" outlineLevel="0" collapsed="false">
      <c r="A4" s="8" t="s">
        <v>65</v>
      </c>
      <c r="B4" s="18" t="n">
        <f aca="false">도비!$G$33</f>
        <v>26114000</v>
      </c>
      <c r="C4" s="18" t="n">
        <f aca="false">B_도비!$G$37</f>
        <v>36259000</v>
      </c>
      <c r="D4" s="33" t="n">
        <f aca="false">C4-B4</f>
        <v>10145000</v>
      </c>
      <c r="E4" s="4" t="s">
        <v>88</v>
      </c>
    </row>
    <row r="5" customFormat="false" ht="30" hidden="false" customHeight="true" outlineLevel="0" collapsed="false">
      <c r="A5" s="8" t="s">
        <v>66</v>
      </c>
      <c r="B5" s="18" t="n">
        <f aca="false">용접!$G$29</f>
        <v>23795000</v>
      </c>
      <c r="C5" s="18" t="n">
        <f aca="false">B_용접!$G$29</f>
        <v>23795000</v>
      </c>
      <c r="D5" s="33" t="n">
        <f aca="false">C5-B5</f>
        <v>0</v>
      </c>
      <c r="E5" s="8" t="s">
        <v>89</v>
      </c>
    </row>
    <row r="6" customFormat="false" ht="30" hidden="false" customHeight="true" outlineLevel="0" collapsed="false">
      <c r="A6" s="8" t="s">
        <v>90</v>
      </c>
      <c r="B6" s="18" t="n">
        <f aca="false">베이스!$G$34</f>
        <v>19497000</v>
      </c>
      <c r="C6" s="18" t="n">
        <f aca="false">B_조방!$G$33</f>
        <v>11765000</v>
      </c>
      <c r="D6" s="33" t="n">
        <f aca="false">C6-B6</f>
        <v>-7732000</v>
      </c>
      <c r="E6" s="4" t="s">
        <v>91</v>
      </c>
    </row>
    <row r="7" customFormat="false" ht="30" hidden="false" customHeight="true" outlineLevel="0" collapsed="false">
      <c r="A7" s="36" t="s">
        <v>92</v>
      </c>
      <c r="B7" s="22" t="n">
        <f aca="false">SUM(B4:B6)</f>
        <v>69406000</v>
      </c>
      <c r="C7" s="22" t="n">
        <f aca="false">SUM(C4:C6)</f>
        <v>71819000</v>
      </c>
      <c r="D7" s="22" t="n">
        <f aca="false">SUM(D4:D6)</f>
        <v>2413000</v>
      </c>
      <c r="E7" s="7"/>
    </row>
    <row r="9" customFormat="false" ht="27.75" hidden="false" customHeight="true" outlineLevel="0" collapsed="false">
      <c r="A9" s="37" t="s">
        <v>93</v>
      </c>
      <c r="B9" s="37"/>
      <c r="C9" s="37"/>
      <c r="D9" s="37"/>
      <c r="E9" s="37"/>
    </row>
    <row r="10" customFormat="false" ht="27.75" hidden="false" customHeight="true" outlineLevel="0" collapsed="false">
      <c r="A10" s="37" t="s">
        <v>94</v>
      </c>
      <c r="B10" s="37"/>
      <c r="C10" s="37"/>
      <c r="D10" s="37"/>
      <c r="E10" s="37"/>
    </row>
    <row r="11" customFormat="false" ht="27.75" hidden="false" customHeight="true" outlineLevel="0" collapsed="false">
      <c r="A11" s="34" t="s">
        <v>95</v>
      </c>
      <c r="B11" s="34"/>
      <c r="C11" s="34"/>
      <c r="D11" s="34"/>
      <c r="E11" s="34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8" t="s">
        <v>96</v>
      </c>
    </row>
    <row r="2" customFormat="false" ht="15" hidden="false" customHeight="false" outlineLevel="0" collapsed="false">
      <c r="A2" s="39" t="s">
        <v>97</v>
      </c>
    </row>
    <row r="4" customFormat="false" ht="15" hidden="false" customHeight="false" outlineLevel="0" collapsed="false">
      <c r="A4" s="15" t="s">
        <v>98</v>
      </c>
      <c r="B4" s="15" t="s">
        <v>99</v>
      </c>
      <c r="C4" s="15" t="s">
        <v>100</v>
      </c>
      <c r="D4" s="15" t="s">
        <v>101</v>
      </c>
      <c r="E4" s="15" t="s">
        <v>102</v>
      </c>
      <c r="F4" s="15" t="s">
        <v>103</v>
      </c>
      <c r="G4" s="15" t="s">
        <v>104</v>
      </c>
    </row>
    <row r="5" customFormat="false" ht="26.85" hidden="false" customHeight="false" outlineLevel="0" collapsed="false">
      <c r="A5" s="8" t="s">
        <v>65</v>
      </c>
      <c r="B5" s="8" t="s">
        <v>105</v>
      </c>
      <c r="C5" s="8" t="s">
        <v>106</v>
      </c>
      <c r="D5" s="4" t="s">
        <v>107</v>
      </c>
      <c r="E5" s="40" t="n">
        <f aca="false">도비!G8</f>
        <v>6300000</v>
      </c>
      <c r="F5" s="10" t="s">
        <v>108</v>
      </c>
      <c r="G5" s="8" t="s">
        <v>109</v>
      </c>
    </row>
    <row r="6" customFormat="false" ht="15" hidden="false" customHeight="false" outlineLevel="0" collapsed="false">
      <c r="A6" s="8" t="s">
        <v>65</v>
      </c>
      <c r="B6" s="8" t="s">
        <v>110</v>
      </c>
      <c r="C6" s="8" t="s">
        <v>111</v>
      </c>
      <c r="D6" s="4" t="s">
        <v>112</v>
      </c>
      <c r="E6" s="40" t="n">
        <f aca="false">도비!G9</f>
        <v>520000</v>
      </c>
      <c r="F6" s="10" t="s">
        <v>113</v>
      </c>
      <c r="G6" s="8" t="s">
        <v>114</v>
      </c>
    </row>
    <row r="7" customFormat="false" ht="26.1" hidden="false" customHeight="false" outlineLevel="0" collapsed="false">
      <c r="A7" s="8" t="s">
        <v>65</v>
      </c>
      <c r="B7" s="8" t="s">
        <v>115</v>
      </c>
      <c r="C7" s="8" t="s">
        <v>116</v>
      </c>
      <c r="D7" s="4" t="s">
        <v>117</v>
      </c>
      <c r="E7" s="40" t="n">
        <f aca="false">도비!G10</f>
        <v>960000</v>
      </c>
      <c r="F7" s="10" t="s">
        <v>113</v>
      </c>
      <c r="G7" s="4"/>
    </row>
    <row r="8" customFormat="false" ht="15" hidden="false" customHeight="false" outlineLevel="0" collapsed="false">
      <c r="A8" s="8" t="s">
        <v>65</v>
      </c>
      <c r="B8" s="8" t="s">
        <v>118</v>
      </c>
      <c r="C8" s="4" t="s">
        <v>119</v>
      </c>
      <c r="D8" s="4" t="s">
        <v>120</v>
      </c>
      <c r="E8" s="40" t="n">
        <f aca="false">도비!G11</f>
        <v>2400000</v>
      </c>
      <c r="F8" s="8" t="s">
        <v>121</v>
      </c>
      <c r="G8" s="4"/>
    </row>
    <row r="9" customFormat="false" ht="15" hidden="false" customHeight="false" outlineLevel="0" collapsed="false">
      <c r="A9" s="8" t="s">
        <v>65</v>
      </c>
      <c r="B9" s="8" t="s">
        <v>118</v>
      </c>
      <c r="C9" s="4" t="s">
        <v>122</v>
      </c>
      <c r="D9" s="4" t="s">
        <v>123</v>
      </c>
      <c r="E9" s="40" t="n">
        <f aca="false">도비!G12</f>
        <v>1700000</v>
      </c>
      <c r="F9" s="8" t="s">
        <v>121</v>
      </c>
      <c r="G9" s="4"/>
    </row>
    <row r="10" customFormat="false" ht="15" hidden="false" customHeight="false" outlineLevel="0" collapsed="false">
      <c r="A10" s="8" t="s">
        <v>65</v>
      </c>
      <c r="B10" s="8" t="s">
        <v>124</v>
      </c>
      <c r="C10" s="4" t="s">
        <v>125</v>
      </c>
      <c r="D10" s="4" t="s">
        <v>126</v>
      </c>
      <c r="E10" s="40" t="n">
        <f aca="false">도비!G13</f>
        <v>640000</v>
      </c>
      <c r="F10" s="10" t="s">
        <v>113</v>
      </c>
      <c r="G10" s="4"/>
    </row>
    <row r="11" customFormat="false" ht="15" hidden="false" customHeight="false" outlineLevel="0" collapsed="false">
      <c r="A11" s="8" t="s">
        <v>65</v>
      </c>
      <c r="B11" s="8" t="s">
        <v>127</v>
      </c>
      <c r="C11" s="8" t="s">
        <v>128</v>
      </c>
      <c r="D11" s="4" t="s">
        <v>129</v>
      </c>
      <c r="E11" s="40" t="n">
        <f aca="false">도비!G14</f>
        <v>2000000</v>
      </c>
      <c r="F11" s="10" t="s">
        <v>113</v>
      </c>
      <c r="G11" s="4"/>
    </row>
    <row r="12" customFormat="false" ht="15" hidden="false" customHeight="false" outlineLevel="0" collapsed="false">
      <c r="A12" s="8" t="s">
        <v>65</v>
      </c>
      <c r="B12" s="8" t="s">
        <v>130</v>
      </c>
      <c r="C12" s="8" t="s">
        <v>131</v>
      </c>
      <c r="D12" s="4" t="s">
        <v>132</v>
      </c>
      <c r="E12" s="40" t="n">
        <f aca="false">도비!G15</f>
        <v>3000000</v>
      </c>
      <c r="F12" s="8" t="s">
        <v>133</v>
      </c>
      <c r="G12" s="4"/>
    </row>
    <row r="13" customFormat="false" ht="15" hidden="false" customHeight="false" outlineLevel="0" collapsed="false">
      <c r="A13" s="8" t="s">
        <v>65</v>
      </c>
      <c r="B13" s="8" t="s">
        <v>134</v>
      </c>
      <c r="C13" s="8" t="s">
        <v>135</v>
      </c>
      <c r="D13" s="4" t="s">
        <v>132</v>
      </c>
      <c r="E13" s="40" t="n">
        <f aca="false">도비!G16</f>
        <v>1000000</v>
      </c>
      <c r="F13" s="8" t="s">
        <v>133</v>
      </c>
      <c r="G13" s="4"/>
    </row>
    <row r="14" customFormat="false" ht="26.85" hidden="false" customHeight="false" outlineLevel="0" collapsed="false">
      <c r="A14" s="8" t="s">
        <v>65</v>
      </c>
      <c r="B14" s="8" t="s">
        <v>136</v>
      </c>
      <c r="C14" s="8" t="s">
        <v>137</v>
      </c>
      <c r="D14" s="8" t="s">
        <v>138</v>
      </c>
      <c r="E14" s="40" t="n">
        <f aca="false">도비!G17</f>
        <v>774400</v>
      </c>
      <c r="F14" s="10" t="s">
        <v>113</v>
      </c>
      <c r="G14" s="4"/>
    </row>
    <row r="15" customFormat="false" ht="15" hidden="false" customHeight="false" outlineLevel="0" collapsed="false">
      <c r="A15" s="8" t="s">
        <v>65</v>
      </c>
      <c r="B15" s="8" t="s">
        <v>139</v>
      </c>
      <c r="C15" s="8" t="s">
        <v>140</v>
      </c>
      <c r="D15" s="4" t="s">
        <v>141</v>
      </c>
      <c r="E15" s="40" t="n">
        <f aca="false">도비!G18</f>
        <v>400000</v>
      </c>
      <c r="F15" s="10" t="s">
        <v>113</v>
      </c>
      <c r="G15" s="8" t="s">
        <v>142</v>
      </c>
    </row>
    <row r="16" customFormat="false" ht="15" hidden="false" customHeight="false" outlineLevel="0" collapsed="false">
      <c r="A16" s="8" t="s">
        <v>65</v>
      </c>
      <c r="B16" s="8" t="s">
        <v>143</v>
      </c>
      <c r="C16" s="4" t="s">
        <v>144</v>
      </c>
      <c r="D16" s="4" t="s">
        <v>145</v>
      </c>
      <c r="E16" s="40" t="n">
        <f aca="false">도비!G19</f>
        <v>520000</v>
      </c>
      <c r="F16" s="10" t="s">
        <v>113</v>
      </c>
      <c r="G16" s="4"/>
    </row>
    <row r="17" customFormat="false" ht="15" hidden="false" customHeight="false" outlineLevel="0" collapsed="false">
      <c r="A17" s="8" t="s">
        <v>65</v>
      </c>
      <c r="B17" s="8" t="s">
        <v>146</v>
      </c>
      <c r="C17" s="8" t="s">
        <v>147</v>
      </c>
      <c r="D17" s="4" t="s">
        <v>132</v>
      </c>
      <c r="E17" s="40" t="n">
        <f aca="false">도비!G20</f>
        <v>380000</v>
      </c>
      <c r="F17" s="10" t="s">
        <v>113</v>
      </c>
      <c r="G17" s="4"/>
    </row>
    <row r="18" customFormat="false" ht="26.1" hidden="false" customHeight="false" outlineLevel="0" collapsed="false">
      <c r="A18" s="8" t="s">
        <v>65</v>
      </c>
      <c r="B18" s="8" t="s">
        <v>148</v>
      </c>
      <c r="C18" s="8" t="s">
        <v>149</v>
      </c>
      <c r="D18" s="4" t="s">
        <v>150</v>
      </c>
      <c r="E18" s="40" t="n">
        <f aca="false">도비!G21</f>
        <v>560000</v>
      </c>
      <c r="F18" s="10" t="s">
        <v>113</v>
      </c>
      <c r="G18" s="4"/>
    </row>
    <row r="19" customFormat="false" ht="15" hidden="false" customHeight="false" outlineLevel="0" collapsed="false">
      <c r="A19" s="8" t="s">
        <v>65</v>
      </c>
      <c r="B19" s="8" t="s">
        <v>151</v>
      </c>
      <c r="C19" s="8" t="s">
        <v>152</v>
      </c>
      <c r="D19" s="4" t="s">
        <v>153</v>
      </c>
      <c r="E19" s="40" t="n">
        <f aca="false">도비!G22</f>
        <v>510000</v>
      </c>
      <c r="F19" s="10" t="s">
        <v>113</v>
      </c>
      <c r="G19" s="4"/>
    </row>
    <row r="20" customFormat="false" ht="26.85" hidden="false" customHeight="false" outlineLevel="0" collapsed="false">
      <c r="A20" s="20"/>
      <c r="B20" s="41" t="s">
        <v>154</v>
      </c>
      <c r="C20" s="20"/>
      <c r="D20" s="20"/>
      <c r="E20" s="42" t="n">
        <f aca="false">도비!$G$33-SUM(도비!$G$23:$G$25)</f>
        <v>4449600</v>
      </c>
      <c r="F20" s="43" t="s">
        <v>155</v>
      </c>
      <c r="G20" s="20"/>
    </row>
    <row r="21" customFormat="false" ht="15" hidden="false" customHeight="false" outlineLevel="0" collapsed="false">
      <c r="A21" s="20"/>
      <c r="B21" s="41" t="s">
        <v>156</v>
      </c>
      <c r="C21" s="20"/>
      <c r="D21" s="20"/>
      <c r="E21" s="42" t="n">
        <f aca="false">도비!$G$33</f>
        <v>26114000</v>
      </c>
      <c r="F21" s="43" t="s">
        <v>157</v>
      </c>
      <c r="G21" s="20"/>
    </row>
    <row r="23" customFormat="false" ht="26.85" hidden="false" customHeight="false" outlineLevel="0" collapsed="false">
      <c r="A23" s="8" t="s">
        <v>66</v>
      </c>
      <c r="B23" s="8" t="s">
        <v>158</v>
      </c>
      <c r="C23" s="4" t="s">
        <v>159</v>
      </c>
      <c r="D23" s="4" t="s">
        <v>160</v>
      </c>
      <c r="E23" s="40" t="n">
        <f aca="false">용접!G8</f>
        <v>4050000</v>
      </c>
      <c r="F23" s="8" t="s">
        <v>161</v>
      </c>
      <c r="G23" s="8" t="s">
        <v>162</v>
      </c>
    </row>
    <row r="24" customFormat="false" ht="26.85" hidden="false" customHeight="false" outlineLevel="0" collapsed="false">
      <c r="A24" s="8" t="s">
        <v>66</v>
      </c>
      <c r="B24" s="8" t="s">
        <v>163</v>
      </c>
      <c r="C24" s="8" t="s">
        <v>164</v>
      </c>
      <c r="D24" s="4" t="s">
        <v>165</v>
      </c>
      <c r="E24" s="40" t="n">
        <f aca="false">용접!G9</f>
        <v>1980000</v>
      </c>
      <c r="F24" s="8" t="s">
        <v>161</v>
      </c>
      <c r="G24" s="8" t="s">
        <v>166</v>
      </c>
    </row>
    <row r="25" customFormat="false" ht="15" hidden="false" customHeight="false" outlineLevel="0" collapsed="false">
      <c r="A25" s="8" t="s">
        <v>66</v>
      </c>
      <c r="B25" s="8" t="s">
        <v>167</v>
      </c>
      <c r="C25" s="8" t="s">
        <v>168</v>
      </c>
      <c r="D25" s="4" t="s">
        <v>169</v>
      </c>
      <c r="E25" s="40" t="n">
        <f aca="false">용접!G10</f>
        <v>1200000</v>
      </c>
      <c r="F25" s="8" t="s">
        <v>170</v>
      </c>
      <c r="G25" s="8" t="s">
        <v>114</v>
      </c>
    </row>
    <row r="26" customFormat="false" ht="15" hidden="false" customHeight="false" outlineLevel="0" collapsed="false">
      <c r="A26" s="8" t="s">
        <v>66</v>
      </c>
      <c r="B26" s="8" t="s">
        <v>140</v>
      </c>
      <c r="C26" s="8" t="s">
        <v>171</v>
      </c>
      <c r="D26" s="4" t="s">
        <v>172</v>
      </c>
      <c r="E26" s="40" t="n">
        <f aca="false">용접!G11</f>
        <v>800000</v>
      </c>
      <c r="F26" s="8" t="s">
        <v>170</v>
      </c>
      <c r="G26" s="8" t="s">
        <v>142</v>
      </c>
    </row>
    <row r="27" customFormat="false" ht="26.85" hidden="false" customHeight="false" outlineLevel="0" collapsed="false">
      <c r="A27" s="8" t="s">
        <v>66</v>
      </c>
      <c r="B27" s="8" t="s">
        <v>173</v>
      </c>
      <c r="C27" s="8" t="s">
        <v>174</v>
      </c>
      <c r="D27" s="4" t="s">
        <v>175</v>
      </c>
      <c r="E27" s="40" t="n">
        <f aca="false">용접!G12</f>
        <v>1250000</v>
      </c>
      <c r="F27" s="10" t="s">
        <v>176</v>
      </c>
      <c r="G27" s="8" t="s">
        <v>114</v>
      </c>
    </row>
    <row r="28" customFormat="false" ht="15" hidden="false" customHeight="false" outlineLevel="0" collapsed="false">
      <c r="A28" s="8" t="s">
        <v>66</v>
      </c>
      <c r="B28" s="4" t="s">
        <v>177</v>
      </c>
      <c r="C28" s="4" t="s">
        <v>178</v>
      </c>
      <c r="D28" s="4" t="s">
        <v>179</v>
      </c>
      <c r="E28" s="40" t="n">
        <f aca="false">용접!G13</f>
        <v>3600000</v>
      </c>
      <c r="F28" s="8" t="s">
        <v>121</v>
      </c>
      <c r="G28" s="4"/>
    </row>
    <row r="29" customFormat="false" ht="15" hidden="false" customHeight="false" outlineLevel="0" collapsed="false">
      <c r="A29" s="8" t="s">
        <v>66</v>
      </c>
      <c r="B29" s="8" t="s">
        <v>180</v>
      </c>
      <c r="C29" s="8" t="s">
        <v>181</v>
      </c>
      <c r="D29" s="4" t="s">
        <v>132</v>
      </c>
      <c r="E29" s="40" t="n">
        <f aca="false">용접!G14</f>
        <v>800000</v>
      </c>
      <c r="F29" s="10" t="s">
        <v>113</v>
      </c>
      <c r="G29" s="4"/>
    </row>
    <row r="30" customFormat="false" ht="26.85" hidden="false" customHeight="false" outlineLevel="0" collapsed="false">
      <c r="A30" s="8" t="s">
        <v>66</v>
      </c>
      <c r="B30" s="8" t="s">
        <v>182</v>
      </c>
      <c r="C30" s="4" t="s">
        <v>183</v>
      </c>
      <c r="D30" s="4" t="s">
        <v>184</v>
      </c>
      <c r="E30" s="40" t="n">
        <f aca="false">용접!G15</f>
        <v>3680000</v>
      </c>
      <c r="F30" s="10" t="s">
        <v>185</v>
      </c>
      <c r="G30" s="4"/>
    </row>
    <row r="31" customFormat="false" ht="15" hidden="false" customHeight="false" outlineLevel="0" collapsed="false">
      <c r="A31" s="8" t="s">
        <v>66</v>
      </c>
      <c r="B31" s="8" t="s">
        <v>186</v>
      </c>
      <c r="C31" s="8" t="s">
        <v>187</v>
      </c>
      <c r="D31" s="4" t="s">
        <v>188</v>
      </c>
      <c r="E31" s="40" t="n">
        <f aca="false">용접!G16</f>
        <v>1000000</v>
      </c>
      <c r="F31" s="8" t="s">
        <v>121</v>
      </c>
      <c r="G31" s="4"/>
    </row>
    <row r="32" customFormat="false" ht="26.1" hidden="false" customHeight="false" outlineLevel="0" collapsed="false">
      <c r="A32" s="8" t="s">
        <v>66</v>
      </c>
      <c r="B32" s="8" t="s">
        <v>148</v>
      </c>
      <c r="C32" s="8" t="s">
        <v>149</v>
      </c>
      <c r="D32" s="4" t="s">
        <v>150</v>
      </c>
      <c r="E32" s="40" t="n">
        <f aca="false">용접!G17</f>
        <v>560000</v>
      </c>
      <c r="F32" s="10" t="s">
        <v>113</v>
      </c>
      <c r="G32" s="4"/>
    </row>
    <row r="33" customFormat="false" ht="15" hidden="false" customHeight="false" outlineLevel="0" collapsed="false">
      <c r="A33" s="8" t="s">
        <v>66</v>
      </c>
      <c r="B33" s="8" t="s">
        <v>151</v>
      </c>
      <c r="C33" s="8" t="s">
        <v>152</v>
      </c>
      <c r="D33" s="4" t="s">
        <v>189</v>
      </c>
      <c r="E33" s="40" t="n">
        <f aca="false">용접!G18</f>
        <v>850000</v>
      </c>
      <c r="F33" s="10" t="s">
        <v>113</v>
      </c>
      <c r="G33" s="4"/>
    </row>
    <row r="34" customFormat="false" ht="26.85" hidden="false" customHeight="false" outlineLevel="0" collapsed="false">
      <c r="A34" s="20"/>
      <c r="B34" s="41" t="s">
        <v>154</v>
      </c>
      <c r="C34" s="20"/>
      <c r="D34" s="20"/>
      <c r="E34" s="42" t="n">
        <f aca="false">용접!$G$29-SUM(용접!$G$19:$G$21)</f>
        <v>4025000</v>
      </c>
      <c r="F34" s="43" t="s">
        <v>155</v>
      </c>
      <c r="G34" s="20"/>
    </row>
    <row r="35" customFormat="false" ht="15" hidden="false" customHeight="false" outlineLevel="0" collapsed="false">
      <c r="A35" s="20"/>
      <c r="B35" s="41" t="s">
        <v>156</v>
      </c>
      <c r="C35" s="20"/>
      <c r="D35" s="20"/>
      <c r="E35" s="42" t="n">
        <f aca="false">용접!$G$29</f>
        <v>23795000</v>
      </c>
      <c r="F35" s="43" t="s">
        <v>190</v>
      </c>
      <c r="G35" s="20"/>
    </row>
    <row r="37" customFormat="false" ht="26.85" hidden="false" customHeight="false" outlineLevel="0" collapsed="false">
      <c r="A37" s="8" t="s">
        <v>67</v>
      </c>
      <c r="B37" s="4" t="s">
        <v>191</v>
      </c>
      <c r="C37" s="4" t="s">
        <v>192</v>
      </c>
      <c r="D37" s="4" t="s">
        <v>193</v>
      </c>
      <c r="E37" s="40" t="n">
        <f aca="false">베이스!G8</f>
        <v>6993700</v>
      </c>
      <c r="F37" s="8" t="s">
        <v>194</v>
      </c>
      <c r="G37" s="4"/>
    </row>
    <row r="38" customFormat="false" ht="15" hidden="false" customHeight="false" outlineLevel="0" collapsed="false">
      <c r="A38" s="8" t="s">
        <v>67</v>
      </c>
      <c r="B38" s="4" t="s">
        <v>195</v>
      </c>
      <c r="C38" s="4"/>
      <c r="D38" s="4" t="s">
        <v>132</v>
      </c>
      <c r="E38" s="40" t="n">
        <f aca="false">베이스!G9</f>
        <v>160000</v>
      </c>
      <c r="F38" s="8" t="s">
        <v>196</v>
      </c>
      <c r="G38" s="4"/>
    </row>
    <row r="39" customFormat="false" ht="15" hidden="false" customHeight="false" outlineLevel="0" collapsed="false">
      <c r="A39" s="8" t="s">
        <v>67</v>
      </c>
      <c r="B39" s="8" t="s">
        <v>197</v>
      </c>
      <c r="C39" s="4"/>
      <c r="D39" s="4" t="s">
        <v>132</v>
      </c>
      <c r="E39" s="40" t="n">
        <f aca="false">베이스!G10</f>
        <v>160000</v>
      </c>
      <c r="F39" s="10" t="s">
        <v>113</v>
      </c>
      <c r="G39" s="4"/>
    </row>
    <row r="40" customFormat="false" ht="15" hidden="false" customHeight="false" outlineLevel="0" collapsed="false">
      <c r="A40" s="8" t="s">
        <v>67</v>
      </c>
      <c r="B40" s="8" t="s">
        <v>182</v>
      </c>
      <c r="C40" s="8" t="s">
        <v>198</v>
      </c>
      <c r="D40" s="4" t="s">
        <v>132</v>
      </c>
      <c r="E40" s="40" t="n">
        <f aca="false">베이스!G11</f>
        <v>1000000</v>
      </c>
      <c r="F40" s="10" t="s">
        <v>113</v>
      </c>
      <c r="G40" s="4"/>
    </row>
    <row r="41" customFormat="false" ht="15" hidden="false" customHeight="false" outlineLevel="0" collapsed="false">
      <c r="A41" s="8" t="s">
        <v>67</v>
      </c>
      <c r="B41" s="8" t="s">
        <v>199</v>
      </c>
      <c r="C41" s="8" t="s">
        <v>200</v>
      </c>
      <c r="D41" s="4" t="s">
        <v>132</v>
      </c>
      <c r="E41" s="40" t="n">
        <f aca="false">베이스!G12</f>
        <v>500000</v>
      </c>
      <c r="F41" s="10" t="s">
        <v>113</v>
      </c>
      <c r="G41" s="4"/>
    </row>
    <row r="42" customFormat="false" ht="15" hidden="false" customHeight="false" outlineLevel="0" collapsed="false">
      <c r="A42" s="8" t="s">
        <v>67</v>
      </c>
      <c r="B42" s="8" t="s">
        <v>201</v>
      </c>
      <c r="C42" s="8" t="s">
        <v>202</v>
      </c>
      <c r="D42" s="4" t="s">
        <v>132</v>
      </c>
      <c r="E42" s="40" t="n">
        <f aca="false">베이스!G13</f>
        <v>420000</v>
      </c>
      <c r="F42" s="10" t="s">
        <v>113</v>
      </c>
      <c r="G42" s="4"/>
    </row>
    <row r="43" customFormat="false" ht="26.85" hidden="false" customHeight="false" outlineLevel="0" collapsed="false">
      <c r="A43" s="8" t="s">
        <v>67</v>
      </c>
      <c r="B43" s="8" t="s">
        <v>203</v>
      </c>
      <c r="C43" s="8" t="s">
        <v>204</v>
      </c>
      <c r="D43" s="4" t="s">
        <v>165</v>
      </c>
      <c r="E43" s="40" t="n">
        <f aca="false">베이스!G14</f>
        <v>1980000</v>
      </c>
      <c r="F43" s="10" t="s">
        <v>205</v>
      </c>
      <c r="G43" s="8" t="s">
        <v>166</v>
      </c>
    </row>
    <row r="44" customFormat="false" ht="26.85" hidden="false" customHeight="false" outlineLevel="0" collapsed="false">
      <c r="A44" s="8" t="s">
        <v>67</v>
      </c>
      <c r="B44" s="8" t="s">
        <v>158</v>
      </c>
      <c r="C44" s="8" t="s">
        <v>206</v>
      </c>
      <c r="D44" s="4" t="s">
        <v>207</v>
      </c>
      <c r="E44" s="40" t="n">
        <f aca="false">베이스!G15</f>
        <v>1350000</v>
      </c>
      <c r="F44" s="10" t="s">
        <v>205</v>
      </c>
      <c r="G44" s="8" t="s">
        <v>162</v>
      </c>
    </row>
    <row r="45" customFormat="false" ht="15" hidden="false" customHeight="false" outlineLevel="0" collapsed="false">
      <c r="A45" s="8" t="s">
        <v>67</v>
      </c>
      <c r="B45" s="8" t="s">
        <v>140</v>
      </c>
      <c r="C45" s="8" t="s">
        <v>208</v>
      </c>
      <c r="D45" s="4" t="s">
        <v>209</v>
      </c>
      <c r="E45" s="40" t="n">
        <f aca="false">베이스!G16</f>
        <v>600000</v>
      </c>
      <c r="F45" s="10" t="s">
        <v>205</v>
      </c>
      <c r="G45" s="8" t="s">
        <v>142</v>
      </c>
    </row>
    <row r="46" customFormat="false" ht="26.85" hidden="false" customHeight="false" outlineLevel="0" collapsed="false">
      <c r="A46" s="8" t="s">
        <v>67</v>
      </c>
      <c r="B46" s="8" t="s">
        <v>173</v>
      </c>
      <c r="C46" s="8" t="s">
        <v>210</v>
      </c>
      <c r="D46" s="4" t="s">
        <v>211</v>
      </c>
      <c r="E46" s="40" t="n">
        <f aca="false">베이스!G17</f>
        <v>750000</v>
      </c>
      <c r="F46" s="10" t="s">
        <v>176</v>
      </c>
      <c r="G46" s="8" t="s">
        <v>114</v>
      </c>
    </row>
    <row r="47" customFormat="false" ht="15" hidden="false" customHeight="false" outlineLevel="0" collapsed="false">
      <c r="A47" s="8" t="s">
        <v>67</v>
      </c>
      <c r="B47" s="8" t="s">
        <v>212</v>
      </c>
      <c r="C47" s="8" t="s">
        <v>213</v>
      </c>
      <c r="D47" s="4" t="s">
        <v>214</v>
      </c>
      <c r="E47" s="40" t="n">
        <f aca="false">베이스!G18</f>
        <v>600000</v>
      </c>
      <c r="F47" s="8" t="s">
        <v>121</v>
      </c>
      <c r="G47" s="4"/>
    </row>
    <row r="48" customFormat="false" ht="15" hidden="false" customHeight="false" outlineLevel="0" collapsed="false">
      <c r="A48" s="8" t="s">
        <v>67</v>
      </c>
      <c r="B48" s="8" t="s">
        <v>212</v>
      </c>
      <c r="C48" s="8" t="s">
        <v>215</v>
      </c>
      <c r="D48" s="4" t="s">
        <v>216</v>
      </c>
      <c r="E48" s="40" t="n">
        <f aca="false">베이스!G19</f>
        <v>300000</v>
      </c>
      <c r="F48" s="8" t="s">
        <v>217</v>
      </c>
      <c r="G48" s="4"/>
    </row>
    <row r="49" customFormat="false" ht="15" hidden="false" customHeight="false" outlineLevel="0" collapsed="false">
      <c r="A49" s="8" t="s">
        <v>67</v>
      </c>
      <c r="B49" s="4" t="s">
        <v>177</v>
      </c>
      <c r="C49" s="4" t="s">
        <v>178</v>
      </c>
      <c r="D49" s="4" t="s">
        <v>218</v>
      </c>
      <c r="E49" s="40" t="n">
        <f aca="false">베이스!G20</f>
        <v>1200000</v>
      </c>
      <c r="F49" s="8" t="s">
        <v>217</v>
      </c>
      <c r="G49" s="4"/>
    </row>
    <row r="50" customFormat="false" ht="15" hidden="false" customHeight="false" outlineLevel="0" collapsed="false">
      <c r="A50" s="8" t="s">
        <v>67</v>
      </c>
      <c r="B50" s="8" t="s">
        <v>219</v>
      </c>
      <c r="C50" s="8" t="s">
        <v>220</v>
      </c>
      <c r="D50" s="4" t="s">
        <v>132</v>
      </c>
      <c r="E50" s="40" t="n">
        <f aca="false">베이스!G21</f>
        <v>300000</v>
      </c>
      <c r="F50" s="10" t="s">
        <v>113</v>
      </c>
      <c r="G50" s="4"/>
    </row>
    <row r="51" customFormat="false" ht="26.1" hidden="false" customHeight="false" outlineLevel="0" collapsed="false">
      <c r="A51" s="8" t="s">
        <v>67</v>
      </c>
      <c r="B51" s="8" t="s">
        <v>148</v>
      </c>
      <c r="C51" s="8" t="s">
        <v>149</v>
      </c>
      <c r="D51" s="4" t="s">
        <v>221</v>
      </c>
      <c r="E51" s="40" t="n">
        <f aca="false">베이스!G22</f>
        <v>300000</v>
      </c>
      <c r="F51" s="10" t="s">
        <v>113</v>
      </c>
      <c r="G51" s="4"/>
    </row>
    <row r="52" customFormat="false" ht="15" hidden="false" customHeight="false" outlineLevel="0" collapsed="false">
      <c r="A52" s="8" t="s">
        <v>67</v>
      </c>
      <c r="B52" s="8" t="s">
        <v>151</v>
      </c>
      <c r="C52" s="8" t="s">
        <v>152</v>
      </c>
      <c r="D52" s="4" t="s">
        <v>222</v>
      </c>
      <c r="E52" s="40" t="n">
        <f aca="false">베이스!G23</f>
        <v>255000</v>
      </c>
      <c r="F52" s="10" t="s">
        <v>113</v>
      </c>
      <c r="G52" s="4"/>
    </row>
    <row r="53" customFormat="false" ht="26.85" hidden="false" customHeight="false" outlineLevel="0" collapsed="false">
      <c r="A53" s="20"/>
      <c r="B53" s="41" t="s">
        <v>154</v>
      </c>
      <c r="C53" s="20"/>
      <c r="D53" s="20"/>
      <c r="E53" s="42" t="n">
        <f aca="false">베이스!$G$34-SUM(베이스!$G$24:$G$26)</f>
        <v>2628300</v>
      </c>
      <c r="F53" s="43" t="s">
        <v>155</v>
      </c>
      <c r="G53" s="20"/>
    </row>
    <row r="54" customFormat="false" ht="15" hidden="false" customHeight="false" outlineLevel="0" collapsed="false">
      <c r="A54" s="20"/>
      <c r="B54" s="41" t="s">
        <v>156</v>
      </c>
      <c r="C54" s="20"/>
      <c r="D54" s="20"/>
      <c r="E54" s="42" t="n">
        <f aca="false">베이스!$G$34</f>
        <v>19497000</v>
      </c>
      <c r="F54" s="43" t="s">
        <v>223</v>
      </c>
      <c r="G54" s="20"/>
    </row>
    <row r="56" customFormat="false" ht="26.85" hidden="false" customHeight="false" outlineLevel="0" collapsed="false">
      <c r="A56" s="4" t="s">
        <v>224</v>
      </c>
      <c r="B56" s="8" t="s">
        <v>105</v>
      </c>
      <c r="C56" s="8" t="s">
        <v>225</v>
      </c>
      <c r="D56" s="4" t="s">
        <v>107</v>
      </c>
      <c r="E56" s="40" t="n">
        <f aca="false">B_도비!G8</f>
        <v>6300000</v>
      </c>
      <c r="F56" s="8" t="s">
        <v>226</v>
      </c>
      <c r="G56" s="8" t="s">
        <v>109</v>
      </c>
    </row>
    <row r="57" customFormat="false" ht="15" hidden="false" customHeight="false" outlineLevel="0" collapsed="false">
      <c r="A57" s="4" t="s">
        <v>224</v>
      </c>
      <c r="B57" s="8" t="s">
        <v>110</v>
      </c>
      <c r="C57" s="8" t="s">
        <v>111</v>
      </c>
      <c r="D57" s="4" t="s">
        <v>227</v>
      </c>
      <c r="E57" s="40" t="n">
        <f aca="false">B_도비!G9</f>
        <v>1040000</v>
      </c>
      <c r="F57" s="10" t="s">
        <v>113</v>
      </c>
      <c r="G57" s="8" t="s">
        <v>114</v>
      </c>
    </row>
    <row r="58" customFormat="false" ht="26.1" hidden="false" customHeight="false" outlineLevel="0" collapsed="false">
      <c r="A58" s="4" t="s">
        <v>224</v>
      </c>
      <c r="B58" s="8" t="s">
        <v>115</v>
      </c>
      <c r="C58" s="8" t="s">
        <v>228</v>
      </c>
      <c r="D58" s="4" t="s">
        <v>117</v>
      </c>
      <c r="E58" s="40" t="n">
        <f aca="false">B_도비!G10</f>
        <v>960000</v>
      </c>
      <c r="F58" s="10" t="s">
        <v>113</v>
      </c>
      <c r="G58" s="4"/>
    </row>
    <row r="59" customFormat="false" ht="15" hidden="false" customHeight="false" outlineLevel="0" collapsed="false">
      <c r="A59" s="4" t="s">
        <v>224</v>
      </c>
      <c r="B59" s="8" t="s">
        <v>118</v>
      </c>
      <c r="C59" s="4" t="s">
        <v>229</v>
      </c>
      <c r="D59" s="4" t="s">
        <v>120</v>
      </c>
      <c r="E59" s="40" t="n">
        <f aca="false">B_도비!G11</f>
        <v>2400000</v>
      </c>
      <c r="F59" s="8" t="s">
        <v>121</v>
      </c>
      <c r="G59" s="4"/>
    </row>
    <row r="60" customFormat="false" ht="15" hidden="false" customHeight="false" outlineLevel="0" collapsed="false">
      <c r="A60" s="4" t="s">
        <v>224</v>
      </c>
      <c r="B60" s="8" t="s">
        <v>118</v>
      </c>
      <c r="C60" s="4" t="s">
        <v>230</v>
      </c>
      <c r="D60" s="4" t="s">
        <v>123</v>
      </c>
      <c r="E60" s="40" t="n">
        <f aca="false">B_도비!G12</f>
        <v>1700000</v>
      </c>
      <c r="F60" s="8" t="s">
        <v>121</v>
      </c>
      <c r="G60" s="4"/>
    </row>
    <row r="61" customFormat="false" ht="26.85" hidden="false" customHeight="false" outlineLevel="0" collapsed="false">
      <c r="A61" s="4" t="s">
        <v>224</v>
      </c>
      <c r="B61" s="8" t="s">
        <v>118</v>
      </c>
      <c r="C61" s="4" t="s">
        <v>231</v>
      </c>
      <c r="D61" s="4" t="s">
        <v>232</v>
      </c>
      <c r="E61" s="40" t="n">
        <f aca="false">B_도비!G13</f>
        <v>4150000</v>
      </c>
      <c r="F61" s="10" t="s">
        <v>233</v>
      </c>
      <c r="G61" s="4"/>
    </row>
    <row r="62" customFormat="false" ht="26.85" hidden="false" customHeight="false" outlineLevel="0" collapsed="false">
      <c r="A62" s="4" t="s">
        <v>224</v>
      </c>
      <c r="B62" s="4" t="s">
        <v>234</v>
      </c>
      <c r="C62" s="8" t="s">
        <v>235</v>
      </c>
      <c r="D62" s="4" t="s">
        <v>132</v>
      </c>
      <c r="E62" s="40" t="n">
        <f aca="false">B_도비!G14</f>
        <v>1200000</v>
      </c>
      <c r="F62" s="10" t="s">
        <v>113</v>
      </c>
      <c r="G62" s="4"/>
    </row>
    <row r="63" customFormat="false" ht="15" hidden="false" customHeight="false" outlineLevel="0" collapsed="false">
      <c r="A63" s="4" t="s">
        <v>224</v>
      </c>
      <c r="B63" s="8" t="s">
        <v>118</v>
      </c>
      <c r="C63" s="4" t="s">
        <v>236</v>
      </c>
      <c r="D63" s="4" t="s">
        <v>120</v>
      </c>
      <c r="E63" s="40" t="n">
        <f aca="false">B_도비!G15</f>
        <v>2400000</v>
      </c>
      <c r="F63" s="8" t="s">
        <v>121</v>
      </c>
      <c r="G63" s="4"/>
    </row>
    <row r="64" customFormat="false" ht="15" hidden="false" customHeight="false" outlineLevel="0" collapsed="false">
      <c r="A64" s="4" t="s">
        <v>224</v>
      </c>
      <c r="B64" s="8" t="s">
        <v>237</v>
      </c>
      <c r="C64" s="4" t="s">
        <v>238</v>
      </c>
      <c r="D64" s="4" t="s">
        <v>132</v>
      </c>
      <c r="E64" s="40" t="n">
        <f aca="false">B_도비!G16</f>
        <v>800000</v>
      </c>
      <c r="F64" s="10" t="s">
        <v>113</v>
      </c>
      <c r="G64" s="4"/>
    </row>
    <row r="65" customFormat="false" ht="15" hidden="false" customHeight="false" outlineLevel="0" collapsed="false">
      <c r="A65" s="4" t="s">
        <v>224</v>
      </c>
      <c r="B65" s="8" t="s">
        <v>124</v>
      </c>
      <c r="C65" s="4" t="s">
        <v>125</v>
      </c>
      <c r="D65" s="4" t="s">
        <v>239</v>
      </c>
      <c r="E65" s="40" t="n">
        <f aca="false">B_도비!G17</f>
        <v>1280000</v>
      </c>
      <c r="F65" s="10" t="s">
        <v>113</v>
      </c>
      <c r="G65" s="4"/>
    </row>
    <row r="66" customFormat="false" ht="15" hidden="false" customHeight="false" outlineLevel="0" collapsed="false">
      <c r="A66" s="4" t="s">
        <v>224</v>
      </c>
      <c r="B66" s="8" t="s">
        <v>130</v>
      </c>
      <c r="C66" s="8" t="s">
        <v>131</v>
      </c>
      <c r="D66" s="4" t="s">
        <v>132</v>
      </c>
      <c r="E66" s="40" t="n">
        <f aca="false">B_도비!G18</f>
        <v>3000000</v>
      </c>
      <c r="F66" s="8" t="s">
        <v>133</v>
      </c>
      <c r="G66" s="4"/>
    </row>
    <row r="67" customFormat="false" ht="26.85" hidden="false" customHeight="false" outlineLevel="0" collapsed="false">
      <c r="A67" s="4" t="s">
        <v>224</v>
      </c>
      <c r="B67" s="8" t="s">
        <v>240</v>
      </c>
      <c r="C67" s="8" t="s">
        <v>241</v>
      </c>
      <c r="D67" s="4" t="s">
        <v>132</v>
      </c>
      <c r="E67" s="40" t="n">
        <f aca="false">B_도비!G19</f>
        <v>900000</v>
      </c>
      <c r="F67" s="10" t="s">
        <v>113</v>
      </c>
      <c r="G67" s="4"/>
    </row>
    <row r="68" customFormat="false" ht="15" hidden="false" customHeight="false" outlineLevel="0" collapsed="false">
      <c r="A68" s="4" t="s">
        <v>224</v>
      </c>
      <c r="B68" s="8" t="s">
        <v>134</v>
      </c>
      <c r="C68" s="8" t="s">
        <v>242</v>
      </c>
      <c r="D68" s="4" t="s">
        <v>132</v>
      </c>
      <c r="E68" s="40" t="n">
        <f aca="false">B_도비!G20</f>
        <v>1000000</v>
      </c>
      <c r="F68" s="8" t="s">
        <v>133</v>
      </c>
      <c r="G68" s="4"/>
    </row>
    <row r="69" customFormat="false" ht="15" hidden="false" customHeight="false" outlineLevel="0" collapsed="false">
      <c r="A69" s="4" t="s">
        <v>224</v>
      </c>
      <c r="B69" s="8" t="s">
        <v>136</v>
      </c>
      <c r="C69" s="8" t="s">
        <v>137</v>
      </c>
      <c r="D69" s="4" t="s">
        <v>243</v>
      </c>
      <c r="E69" s="40" t="n">
        <f aca="false">B_도비!G21</f>
        <v>774400</v>
      </c>
      <c r="F69" s="10" t="s">
        <v>113</v>
      </c>
      <c r="G69" s="4"/>
    </row>
    <row r="70" customFormat="false" ht="15" hidden="false" customHeight="false" outlineLevel="0" collapsed="false">
      <c r="A70" s="4" t="s">
        <v>224</v>
      </c>
      <c r="B70" s="8" t="s">
        <v>139</v>
      </c>
      <c r="C70" s="8" t="s">
        <v>140</v>
      </c>
      <c r="D70" s="4" t="s">
        <v>141</v>
      </c>
      <c r="E70" s="40" t="n">
        <f aca="false">B_도비!G22</f>
        <v>400000</v>
      </c>
      <c r="F70" s="10" t="s">
        <v>113</v>
      </c>
      <c r="G70" s="8" t="s">
        <v>142</v>
      </c>
    </row>
    <row r="71" customFormat="false" ht="15" hidden="false" customHeight="false" outlineLevel="0" collapsed="false">
      <c r="A71" s="4" t="s">
        <v>224</v>
      </c>
      <c r="B71" s="8" t="s">
        <v>143</v>
      </c>
      <c r="C71" s="4" t="s">
        <v>144</v>
      </c>
      <c r="D71" s="4" t="s">
        <v>145</v>
      </c>
      <c r="E71" s="40" t="n">
        <f aca="false">B_도비!G23</f>
        <v>520000</v>
      </c>
      <c r="F71" s="10" t="s">
        <v>113</v>
      </c>
      <c r="G71" s="4"/>
    </row>
    <row r="72" customFormat="false" ht="15" hidden="false" customHeight="false" outlineLevel="0" collapsed="false">
      <c r="A72" s="4" t="s">
        <v>224</v>
      </c>
      <c r="B72" s="8" t="s">
        <v>146</v>
      </c>
      <c r="C72" s="8" t="s">
        <v>147</v>
      </c>
      <c r="D72" s="4" t="s">
        <v>132</v>
      </c>
      <c r="E72" s="40" t="n">
        <f aca="false">B_도비!G24</f>
        <v>380000</v>
      </c>
      <c r="F72" s="10" t="s">
        <v>113</v>
      </c>
      <c r="G72" s="4"/>
    </row>
    <row r="73" customFormat="false" ht="26.1" hidden="false" customHeight="false" outlineLevel="0" collapsed="false">
      <c r="A73" s="4" t="s">
        <v>224</v>
      </c>
      <c r="B73" s="8" t="s">
        <v>148</v>
      </c>
      <c r="C73" s="8" t="s">
        <v>149</v>
      </c>
      <c r="D73" s="4" t="s">
        <v>244</v>
      </c>
      <c r="E73" s="40" t="n">
        <f aca="false">B_도비!G25</f>
        <v>600000</v>
      </c>
      <c r="F73" s="10" t="s">
        <v>113</v>
      </c>
      <c r="G73" s="4"/>
    </row>
    <row r="74" customFormat="false" ht="15" hidden="false" customHeight="false" outlineLevel="0" collapsed="false">
      <c r="A74" s="4" t="s">
        <v>224</v>
      </c>
      <c r="B74" s="8" t="s">
        <v>151</v>
      </c>
      <c r="C74" s="8" t="s">
        <v>152</v>
      </c>
      <c r="D74" s="4" t="s">
        <v>153</v>
      </c>
      <c r="E74" s="40" t="n">
        <f aca="false">B_도비!G26</f>
        <v>510000</v>
      </c>
      <c r="F74" s="10" t="s">
        <v>113</v>
      </c>
      <c r="G74" s="4"/>
    </row>
    <row r="75" customFormat="false" ht="26.85" hidden="false" customHeight="false" outlineLevel="0" collapsed="false">
      <c r="A75" s="20"/>
      <c r="B75" s="41" t="s">
        <v>154</v>
      </c>
      <c r="C75" s="20"/>
      <c r="D75" s="20"/>
      <c r="E75" s="42" t="n">
        <f aca="false">B_도비!$G$37-SUM(B_도비!$G$27:B27)</f>
        <v>33979000</v>
      </c>
      <c r="F75" s="43" t="s">
        <v>155</v>
      </c>
      <c r="G75" s="20"/>
    </row>
    <row r="76" customFormat="false" ht="15" hidden="false" customHeight="false" outlineLevel="0" collapsed="false">
      <c r="A76" s="20"/>
      <c r="B76" s="41" t="s">
        <v>156</v>
      </c>
      <c r="C76" s="20"/>
      <c r="D76" s="20"/>
      <c r="E76" s="42" t="n">
        <f aca="false">B_도비!$G$37</f>
        <v>36259000</v>
      </c>
      <c r="F76" s="20" t="s">
        <v>245</v>
      </c>
      <c r="G76" s="20"/>
    </row>
    <row r="78" customFormat="false" ht="26.85" hidden="false" customHeight="false" outlineLevel="0" collapsed="false">
      <c r="A78" s="4" t="s">
        <v>246</v>
      </c>
      <c r="B78" s="8" t="s">
        <v>158</v>
      </c>
      <c r="C78" s="4" t="s">
        <v>159</v>
      </c>
      <c r="D78" s="4" t="s">
        <v>160</v>
      </c>
      <c r="E78" s="40" t="n">
        <f aca="false">B_용접!G8</f>
        <v>4050000</v>
      </c>
      <c r="F78" s="8" t="s">
        <v>161</v>
      </c>
      <c r="G78" s="8" t="s">
        <v>162</v>
      </c>
    </row>
    <row r="79" customFormat="false" ht="26.85" hidden="false" customHeight="false" outlineLevel="0" collapsed="false">
      <c r="A79" s="4" t="s">
        <v>246</v>
      </c>
      <c r="B79" s="8" t="s">
        <v>163</v>
      </c>
      <c r="C79" s="8" t="s">
        <v>164</v>
      </c>
      <c r="D79" s="4" t="s">
        <v>165</v>
      </c>
      <c r="E79" s="40" t="n">
        <f aca="false">B_용접!G9</f>
        <v>1980000</v>
      </c>
      <c r="F79" s="8" t="s">
        <v>161</v>
      </c>
      <c r="G79" s="8" t="s">
        <v>166</v>
      </c>
    </row>
    <row r="80" customFormat="false" ht="15" hidden="false" customHeight="false" outlineLevel="0" collapsed="false">
      <c r="A80" s="4" t="s">
        <v>246</v>
      </c>
      <c r="B80" s="8" t="s">
        <v>167</v>
      </c>
      <c r="C80" s="8" t="s">
        <v>168</v>
      </c>
      <c r="D80" s="4" t="s">
        <v>169</v>
      </c>
      <c r="E80" s="40" t="n">
        <f aca="false">B_용접!G10</f>
        <v>1200000</v>
      </c>
      <c r="F80" s="8" t="s">
        <v>170</v>
      </c>
      <c r="G80" s="8" t="s">
        <v>114</v>
      </c>
    </row>
    <row r="81" customFormat="false" ht="15" hidden="false" customHeight="false" outlineLevel="0" collapsed="false">
      <c r="A81" s="4" t="s">
        <v>246</v>
      </c>
      <c r="B81" s="8" t="s">
        <v>140</v>
      </c>
      <c r="C81" s="8" t="s">
        <v>171</v>
      </c>
      <c r="D81" s="4" t="s">
        <v>172</v>
      </c>
      <c r="E81" s="40" t="n">
        <f aca="false">B_용접!G11</f>
        <v>800000</v>
      </c>
      <c r="F81" s="8" t="s">
        <v>170</v>
      </c>
      <c r="G81" s="8" t="s">
        <v>142</v>
      </c>
    </row>
    <row r="82" customFormat="false" ht="26.85" hidden="false" customHeight="false" outlineLevel="0" collapsed="false">
      <c r="A82" s="4" t="s">
        <v>246</v>
      </c>
      <c r="B82" s="8" t="s">
        <v>173</v>
      </c>
      <c r="C82" s="8" t="s">
        <v>174</v>
      </c>
      <c r="D82" s="4" t="s">
        <v>175</v>
      </c>
      <c r="E82" s="40" t="n">
        <f aca="false">B_용접!G12</f>
        <v>1250000</v>
      </c>
      <c r="F82" s="10" t="s">
        <v>176</v>
      </c>
      <c r="G82" s="8" t="s">
        <v>114</v>
      </c>
    </row>
    <row r="83" customFormat="false" ht="15" hidden="false" customHeight="false" outlineLevel="0" collapsed="false">
      <c r="A83" s="4" t="s">
        <v>246</v>
      </c>
      <c r="B83" s="4" t="s">
        <v>177</v>
      </c>
      <c r="C83" s="4" t="s">
        <v>178</v>
      </c>
      <c r="D83" s="4" t="s">
        <v>179</v>
      </c>
      <c r="E83" s="40" t="n">
        <f aca="false">B_용접!G13</f>
        <v>3600000</v>
      </c>
      <c r="F83" s="8" t="s">
        <v>121</v>
      </c>
      <c r="G83" s="4"/>
    </row>
    <row r="84" customFormat="false" ht="15" hidden="false" customHeight="false" outlineLevel="0" collapsed="false">
      <c r="A84" s="4" t="s">
        <v>246</v>
      </c>
      <c r="B84" s="8" t="s">
        <v>180</v>
      </c>
      <c r="C84" s="8" t="s">
        <v>181</v>
      </c>
      <c r="D84" s="4" t="s">
        <v>132</v>
      </c>
      <c r="E84" s="40" t="n">
        <f aca="false">B_용접!G14</f>
        <v>800000</v>
      </c>
      <c r="F84" s="10" t="s">
        <v>113</v>
      </c>
      <c r="G84" s="4"/>
    </row>
    <row r="85" customFormat="false" ht="26.85" hidden="false" customHeight="false" outlineLevel="0" collapsed="false">
      <c r="A85" s="4" t="s">
        <v>246</v>
      </c>
      <c r="B85" s="8" t="s">
        <v>182</v>
      </c>
      <c r="C85" s="4" t="s">
        <v>183</v>
      </c>
      <c r="D85" s="4" t="s">
        <v>184</v>
      </c>
      <c r="E85" s="40" t="n">
        <f aca="false">B_용접!G15</f>
        <v>3680000</v>
      </c>
      <c r="F85" s="10" t="s">
        <v>185</v>
      </c>
      <c r="G85" s="4"/>
    </row>
    <row r="86" customFormat="false" ht="15" hidden="false" customHeight="false" outlineLevel="0" collapsed="false">
      <c r="A86" s="4" t="s">
        <v>246</v>
      </c>
      <c r="B86" s="8" t="s">
        <v>186</v>
      </c>
      <c r="C86" s="8" t="s">
        <v>187</v>
      </c>
      <c r="D86" s="4" t="s">
        <v>188</v>
      </c>
      <c r="E86" s="40" t="n">
        <f aca="false">B_용접!G16</f>
        <v>1000000</v>
      </c>
      <c r="F86" s="8" t="s">
        <v>121</v>
      </c>
      <c r="G86" s="4"/>
    </row>
    <row r="87" customFormat="false" ht="26.1" hidden="false" customHeight="false" outlineLevel="0" collapsed="false">
      <c r="A87" s="4" t="s">
        <v>246</v>
      </c>
      <c r="B87" s="8" t="s">
        <v>148</v>
      </c>
      <c r="C87" s="8" t="s">
        <v>149</v>
      </c>
      <c r="D87" s="4" t="s">
        <v>150</v>
      </c>
      <c r="E87" s="40" t="n">
        <f aca="false">B_용접!G17</f>
        <v>560000</v>
      </c>
      <c r="F87" s="10" t="s">
        <v>113</v>
      </c>
      <c r="G87" s="4"/>
    </row>
    <row r="88" customFormat="false" ht="15" hidden="false" customHeight="false" outlineLevel="0" collapsed="false">
      <c r="A88" s="4" t="s">
        <v>246</v>
      </c>
      <c r="B88" s="8" t="s">
        <v>151</v>
      </c>
      <c r="C88" s="8" t="s">
        <v>152</v>
      </c>
      <c r="D88" s="4" t="s">
        <v>189</v>
      </c>
      <c r="E88" s="40" t="n">
        <f aca="false">B_용접!G18</f>
        <v>850000</v>
      </c>
      <c r="F88" s="10" t="s">
        <v>113</v>
      </c>
      <c r="G88" s="4"/>
    </row>
    <row r="89" customFormat="false" ht="26.85" hidden="false" customHeight="false" outlineLevel="0" collapsed="false">
      <c r="A89" s="20"/>
      <c r="B89" s="41" t="s">
        <v>154</v>
      </c>
      <c r="C89" s="20"/>
      <c r="D89" s="20"/>
      <c r="E89" s="42" t="n">
        <f aca="false">B_용접!$G$29-SUM(B_용접!$G$19:B19)</f>
        <v>20115000</v>
      </c>
      <c r="F89" s="43" t="s">
        <v>155</v>
      </c>
      <c r="G89" s="20"/>
    </row>
    <row r="90" customFormat="false" ht="15" hidden="false" customHeight="false" outlineLevel="0" collapsed="false">
      <c r="A90" s="20"/>
      <c r="B90" s="41" t="s">
        <v>156</v>
      </c>
      <c r="C90" s="20"/>
      <c r="D90" s="20"/>
      <c r="E90" s="42" t="n">
        <f aca="false">B_용접!$G$29</f>
        <v>23795000</v>
      </c>
      <c r="F90" s="20" t="s">
        <v>245</v>
      </c>
      <c r="G90" s="20"/>
    </row>
    <row r="92" customFormat="false" ht="26.85" hidden="false" customHeight="false" outlineLevel="0" collapsed="false">
      <c r="A92" s="4" t="s">
        <v>247</v>
      </c>
      <c r="B92" s="8" t="s">
        <v>248</v>
      </c>
      <c r="C92" s="4" t="s">
        <v>249</v>
      </c>
      <c r="D92" s="4" t="s">
        <v>250</v>
      </c>
      <c r="E92" s="40" t="n">
        <f aca="false">B_조방!G8</f>
        <v>1397200</v>
      </c>
      <c r="F92" s="10" t="s">
        <v>113</v>
      </c>
      <c r="G92" s="4"/>
    </row>
    <row r="93" customFormat="false" ht="15" hidden="false" customHeight="false" outlineLevel="0" collapsed="false">
      <c r="A93" s="4" t="s">
        <v>247</v>
      </c>
      <c r="B93" s="8" t="s">
        <v>251</v>
      </c>
      <c r="C93" s="8" t="s">
        <v>252</v>
      </c>
      <c r="D93" s="4" t="s">
        <v>253</v>
      </c>
      <c r="E93" s="40" t="n">
        <f aca="false">B_조방!G9</f>
        <v>320000</v>
      </c>
      <c r="F93" s="8" t="s">
        <v>254</v>
      </c>
      <c r="G93" s="4"/>
    </row>
    <row r="94" customFormat="false" ht="15" hidden="false" customHeight="false" outlineLevel="0" collapsed="false">
      <c r="A94" s="4" t="s">
        <v>247</v>
      </c>
      <c r="B94" s="8" t="s">
        <v>182</v>
      </c>
      <c r="C94" s="8" t="s">
        <v>198</v>
      </c>
      <c r="D94" s="4" t="s">
        <v>132</v>
      </c>
      <c r="E94" s="40" t="n">
        <f aca="false">B_조방!G10</f>
        <v>600000</v>
      </c>
      <c r="F94" s="10" t="s">
        <v>113</v>
      </c>
      <c r="G94" s="4"/>
    </row>
    <row r="95" customFormat="false" ht="15" hidden="false" customHeight="false" outlineLevel="0" collapsed="false">
      <c r="A95" s="4" t="s">
        <v>247</v>
      </c>
      <c r="B95" s="8" t="s">
        <v>201</v>
      </c>
      <c r="C95" s="8" t="s">
        <v>202</v>
      </c>
      <c r="D95" s="4" t="s">
        <v>132</v>
      </c>
      <c r="E95" s="40" t="n">
        <f aca="false">B_조방!G11</f>
        <v>300000</v>
      </c>
      <c r="F95" s="10" t="s">
        <v>113</v>
      </c>
      <c r="G95" s="4"/>
    </row>
    <row r="96" customFormat="false" ht="15" hidden="false" customHeight="false" outlineLevel="0" collapsed="false">
      <c r="A96" s="4" t="s">
        <v>247</v>
      </c>
      <c r="B96" s="8" t="s">
        <v>255</v>
      </c>
      <c r="C96" s="8" t="s">
        <v>256</v>
      </c>
      <c r="D96" s="4" t="s">
        <v>132</v>
      </c>
      <c r="E96" s="40" t="n">
        <f aca="false">B_조방!G12</f>
        <v>500000</v>
      </c>
      <c r="F96" s="10" t="s">
        <v>113</v>
      </c>
      <c r="G96" s="4"/>
    </row>
    <row r="97" customFormat="false" ht="26.85" hidden="false" customHeight="false" outlineLevel="0" collapsed="false">
      <c r="A97" s="4" t="s">
        <v>247</v>
      </c>
      <c r="B97" s="8" t="s">
        <v>203</v>
      </c>
      <c r="C97" s="8" t="s">
        <v>257</v>
      </c>
      <c r="D97" s="4" t="s">
        <v>258</v>
      </c>
      <c r="E97" s="40" t="n">
        <f aca="false">B_조방!G13</f>
        <v>1320000</v>
      </c>
      <c r="F97" s="10" t="s">
        <v>113</v>
      </c>
      <c r="G97" s="8" t="s">
        <v>166</v>
      </c>
    </row>
    <row r="98" customFormat="false" ht="26.85" hidden="false" customHeight="false" outlineLevel="0" collapsed="false">
      <c r="A98" s="4" t="s">
        <v>247</v>
      </c>
      <c r="B98" s="8" t="s">
        <v>158</v>
      </c>
      <c r="C98" s="8" t="s">
        <v>259</v>
      </c>
      <c r="D98" s="4" t="s">
        <v>260</v>
      </c>
      <c r="E98" s="40" t="n">
        <f aca="false">B_조방!G14</f>
        <v>900000</v>
      </c>
      <c r="F98" s="10" t="s">
        <v>113</v>
      </c>
      <c r="G98" s="8" t="s">
        <v>162</v>
      </c>
    </row>
    <row r="99" customFormat="false" ht="15" hidden="false" customHeight="false" outlineLevel="0" collapsed="false">
      <c r="A99" s="4" t="s">
        <v>247</v>
      </c>
      <c r="B99" s="8" t="s">
        <v>140</v>
      </c>
      <c r="C99" s="8" t="s">
        <v>261</v>
      </c>
      <c r="D99" s="4" t="s">
        <v>262</v>
      </c>
      <c r="E99" s="40" t="n">
        <f aca="false">B_조방!G15</f>
        <v>400000</v>
      </c>
      <c r="F99" s="10" t="s">
        <v>113</v>
      </c>
      <c r="G99" s="8" t="s">
        <v>142</v>
      </c>
    </row>
    <row r="100" customFormat="false" ht="15" hidden="false" customHeight="false" outlineLevel="0" collapsed="false">
      <c r="A100" s="4" t="s">
        <v>247</v>
      </c>
      <c r="B100" s="8" t="s">
        <v>173</v>
      </c>
      <c r="C100" s="8" t="s">
        <v>263</v>
      </c>
      <c r="D100" s="4" t="s">
        <v>264</v>
      </c>
      <c r="E100" s="40" t="n">
        <f aca="false">B_조방!G16</f>
        <v>500000</v>
      </c>
      <c r="F100" s="10" t="s">
        <v>113</v>
      </c>
      <c r="G100" s="8" t="s">
        <v>114</v>
      </c>
    </row>
    <row r="101" customFormat="false" ht="26.85" hidden="false" customHeight="false" outlineLevel="0" collapsed="false">
      <c r="A101" s="4" t="s">
        <v>247</v>
      </c>
      <c r="B101" s="8" t="s">
        <v>265</v>
      </c>
      <c r="C101" s="8" t="s">
        <v>266</v>
      </c>
      <c r="D101" s="4" t="s">
        <v>267</v>
      </c>
      <c r="E101" s="40" t="n">
        <f aca="false">B_조방!G17</f>
        <v>1400000</v>
      </c>
      <c r="F101" s="10" t="s">
        <v>268</v>
      </c>
      <c r="G101" s="8" t="s">
        <v>269</v>
      </c>
    </row>
    <row r="102" customFormat="false" ht="15" hidden="false" customHeight="false" outlineLevel="0" collapsed="false">
      <c r="A102" s="4" t="s">
        <v>247</v>
      </c>
      <c r="B102" s="8" t="s">
        <v>212</v>
      </c>
      <c r="C102" s="8" t="s">
        <v>270</v>
      </c>
      <c r="D102" s="4" t="s">
        <v>214</v>
      </c>
      <c r="E102" s="40" t="n">
        <f aca="false">B_조방!G18</f>
        <v>600000</v>
      </c>
      <c r="F102" s="8" t="s">
        <v>217</v>
      </c>
      <c r="G102" s="4"/>
    </row>
    <row r="103" customFormat="false" ht="15" hidden="false" customHeight="false" outlineLevel="0" collapsed="false">
      <c r="A103" s="4" t="s">
        <v>247</v>
      </c>
      <c r="B103" s="4" t="s">
        <v>177</v>
      </c>
      <c r="C103" s="4" t="s">
        <v>178</v>
      </c>
      <c r="D103" s="4" t="s">
        <v>271</v>
      </c>
      <c r="E103" s="40" t="n">
        <f aca="false">B_조방!G19</f>
        <v>800000</v>
      </c>
      <c r="F103" s="8" t="s">
        <v>217</v>
      </c>
      <c r="G103" s="4"/>
    </row>
    <row r="104" customFormat="false" ht="15" hidden="false" customHeight="false" outlineLevel="0" collapsed="false">
      <c r="A104" s="4" t="s">
        <v>247</v>
      </c>
      <c r="B104" s="8" t="s">
        <v>219</v>
      </c>
      <c r="C104" s="8" t="s">
        <v>220</v>
      </c>
      <c r="D104" s="4" t="s">
        <v>132</v>
      </c>
      <c r="E104" s="40" t="n">
        <f aca="false">B_조방!G20</f>
        <v>300000</v>
      </c>
      <c r="F104" s="10" t="s">
        <v>113</v>
      </c>
      <c r="G104" s="4"/>
    </row>
    <row r="105" customFormat="false" ht="26.1" hidden="false" customHeight="false" outlineLevel="0" collapsed="false">
      <c r="A105" s="4" t="s">
        <v>247</v>
      </c>
      <c r="B105" s="8" t="s">
        <v>148</v>
      </c>
      <c r="C105" s="8" t="s">
        <v>149</v>
      </c>
      <c r="D105" s="4" t="s">
        <v>272</v>
      </c>
      <c r="E105" s="40" t="n">
        <f aca="false">B_조방!G21</f>
        <v>280000</v>
      </c>
      <c r="F105" s="10" t="s">
        <v>113</v>
      </c>
      <c r="G105" s="4"/>
    </row>
    <row r="106" customFormat="false" ht="15" hidden="false" customHeight="false" outlineLevel="0" collapsed="false">
      <c r="A106" s="4" t="s">
        <v>247</v>
      </c>
      <c r="B106" s="8" t="s">
        <v>151</v>
      </c>
      <c r="C106" s="8" t="s">
        <v>152</v>
      </c>
      <c r="D106" s="4" t="s">
        <v>222</v>
      </c>
      <c r="E106" s="40" t="n">
        <f aca="false">B_조방!G22</f>
        <v>255000</v>
      </c>
      <c r="F106" s="10" t="s">
        <v>113</v>
      </c>
      <c r="G106" s="4"/>
    </row>
    <row r="107" customFormat="false" ht="26.85" hidden="false" customHeight="false" outlineLevel="0" collapsed="false">
      <c r="A107" s="20"/>
      <c r="B107" s="41" t="s">
        <v>154</v>
      </c>
      <c r="C107" s="20"/>
      <c r="D107" s="20"/>
      <c r="E107" s="42" t="n">
        <f aca="false">B_조방!$G$33-SUM(B_조방!$G$23:B23)</f>
        <v>8647800</v>
      </c>
      <c r="F107" s="43" t="s">
        <v>155</v>
      </c>
      <c r="G107" s="20"/>
    </row>
    <row r="108" customFormat="false" ht="15" hidden="false" customHeight="false" outlineLevel="0" collapsed="false">
      <c r="A108" s="20"/>
      <c r="B108" s="41" t="s">
        <v>156</v>
      </c>
      <c r="C108" s="20"/>
      <c r="D108" s="20"/>
      <c r="E108" s="42" t="n">
        <f aca="false">B_조방!$G$33</f>
        <v>11765000</v>
      </c>
      <c r="F108" s="20" t="s">
        <v>245</v>
      </c>
      <c r="G108" s="20"/>
    </row>
    <row r="110" customFormat="false" ht="15" hidden="false" customHeight="false" outlineLevel="0" collapsed="false">
      <c r="A110" s="39" t="s">
        <v>273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276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277</v>
      </c>
      <c r="F7" s="15" t="s">
        <v>278</v>
      </c>
      <c r="G7" s="15" t="s">
        <v>279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105</v>
      </c>
      <c r="C8" s="8" t="s">
        <v>106</v>
      </c>
      <c r="D8" s="17" t="s">
        <v>280</v>
      </c>
      <c r="E8" s="45" t="n">
        <v>21</v>
      </c>
      <c r="F8" s="45" t="n">
        <v>300000</v>
      </c>
      <c r="G8" s="33" t="n">
        <f aca="false">E8*F8</f>
        <v>6300000</v>
      </c>
      <c r="H8" s="4" t="s">
        <v>281</v>
      </c>
      <c r="I8" s="17" t="s">
        <v>71</v>
      </c>
    </row>
    <row r="9" customFormat="false" ht="19.5" hidden="false" customHeight="true" outlineLevel="0" collapsed="false">
      <c r="A9" s="17"/>
      <c r="B9" s="17" t="s">
        <v>110</v>
      </c>
      <c r="C9" s="8" t="s">
        <v>111</v>
      </c>
      <c r="D9" s="17" t="s">
        <v>280</v>
      </c>
      <c r="E9" s="45" t="n">
        <v>2</v>
      </c>
      <c r="F9" s="45" t="n">
        <v>260000</v>
      </c>
      <c r="G9" s="33" t="n">
        <f aca="false">E9*F9</f>
        <v>520000</v>
      </c>
      <c r="H9" s="4" t="s">
        <v>282</v>
      </c>
      <c r="I9" s="17" t="s">
        <v>71</v>
      </c>
    </row>
    <row r="10" customFormat="false" ht="19.5" hidden="false" customHeight="true" outlineLevel="0" collapsed="false">
      <c r="A10" s="17"/>
      <c r="B10" s="17" t="s">
        <v>115</v>
      </c>
      <c r="C10" s="8" t="s">
        <v>116</v>
      </c>
      <c r="D10" s="17" t="s">
        <v>280</v>
      </c>
      <c r="E10" s="45" t="n">
        <v>3</v>
      </c>
      <c r="F10" s="45" t="n">
        <v>320000</v>
      </c>
      <c r="G10" s="33" t="n">
        <f aca="false">E10*F10</f>
        <v>960000</v>
      </c>
      <c r="H10" s="4" t="s">
        <v>283</v>
      </c>
      <c r="I10" s="17" t="s">
        <v>71</v>
      </c>
    </row>
    <row r="11" customFormat="false" ht="19.5" hidden="false" customHeight="true" outlineLevel="0" collapsed="false">
      <c r="A11" s="17" t="s">
        <v>284</v>
      </c>
      <c r="B11" s="17" t="s">
        <v>118</v>
      </c>
      <c r="C11" s="4" t="s">
        <v>119</v>
      </c>
      <c r="D11" s="17" t="s">
        <v>285</v>
      </c>
      <c r="E11" s="45" t="n">
        <v>1</v>
      </c>
      <c r="F11" s="45" t="n">
        <v>2400000</v>
      </c>
      <c r="G11" s="33" t="n">
        <f aca="false">E11*F11</f>
        <v>2400000</v>
      </c>
      <c r="H11" s="8" t="s">
        <v>286</v>
      </c>
      <c r="I11" s="17" t="s">
        <v>72</v>
      </c>
    </row>
    <row r="12" customFormat="false" ht="19.5" hidden="false" customHeight="true" outlineLevel="0" collapsed="false">
      <c r="A12" s="17"/>
      <c r="B12" s="17" t="s">
        <v>118</v>
      </c>
      <c r="C12" s="4" t="s">
        <v>122</v>
      </c>
      <c r="D12" s="17" t="s">
        <v>285</v>
      </c>
      <c r="E12" s="45" t="n">
        <v>1</v>
      </c>
      <c r="F12" s="45" t="n">
        <v>1700000</v>
      </c>
      <c r="G12" s="33" t="n">
        <f aca="false">E12*F12</f>
        <v>1700000</v>
      </c>
      <c r="H12" s="8" t="s">
        <v>286</v>
      </c>
      <c r="I12" s="17" t="s">
        <v>72</v>
      </c>
    </row>
    <row r="13" customFormat="false" ht="19.5" hidden="false" customHeight="true" outlineLevel="0" collapsed="false">
      <c r="A13" s="17"/>
      <c r="B13" s="17" t="s">
        <v>124</v>
      </c>
      <c r="C13" s="4" t="s">
        <v>125</v>
      </c>
      <c r="D13" s="17" t="s">
        <v>40</v>
      </c>
      <c r="E13" s="45" t="n">
        <v>1</v>
      </c>
      <c r="F13" s="45" t="n">
        <v>640000</v>
      </c>
      <c r="G13" s="33" t="n">
        <f aca="false">E13*F13</f>
        <v>640000</v>
      </c>
      <c r="H13" s="8" t="s">
        <v>287</v>
      </c>
      <c r="I13" s="17" t="s">
        <v>72</v>
      </c>
    </row>
    <row r="14" customFormat="false" ht="19.5" hidden="false" customHeight="true" outlineLevel="0" collapsed="false">
      <c r="A14" s="17"/>
      <c r="B14" s="17" t="s">
        <v>127</v>
      </c>
      <c r="C14" s="8" t="s">
        <v>128</v>
      </c>
      <c r="D14" s="16" t="s">
        <v>288</v>
      </c>
      <c r="E14" s="45" t="n">
        <v>1</v>
      </c>
      <c r="F14" s="45" t="n">
        <v>2000000</v>
      </c>
      <c r="G14" s="33" t="n">
        <f aca="false">E14*F14</f>
        <v>2000000</v>
      </c>
      <c r="H14" s="8" t="s">
        <v>289</v>
      </c>
      <c r="I14" s="17" t="s">
        <v>72</v>
      </c>
    </row>
    <row r="15" customFormat="false" ht="19.5" hidden="false" customHeight="true" outlineLevel="0" collapsed="false">
      <c r="A15" s="17"/>
      <c r="B15" s="17" t="s">
        <v>130</v>
      </c>
      <c r="C15" s="8" t="s">
        <v>131</v>
      </c>
      <c r="D15" s="16" t="s">
        <v>288</v>
      </c>
      <c r="E15" s="45" t="n">
        <v>1</v>
      </c>
      <c r="F15" s="45" t="n">
        <v>3000000</v>
      </c>
      <c r="G15" s="33" t="n">
        <f aca="false">E15*F15</f>
        <v>3000000</v>
      </c>
      <c r="H15" s="4"/>
      <c r="I15" s="17" t="s">
        <v>72</v>
      </c>
    </row>
    <row r="16" customFormat="false" ht="19.5" hidden="false" customHeight="true" outlineLevel="0" collapsed="false">
      <c r="A16" s="17" t="s">
        <v>70</v>
      </c>
      <c r="B16" s="17" t="s">
        <v>134</v>
      </c>
      <c r="C16" s="8" t="s">
        <v>135</v>
      </c>
      <c r="D16" s="17" t="s">
        <v>40</v>
      </c>
      <c r="E16" s="45" t="n">
        <v>1</v>
      </c>
      <c r="F16" s="45" t="n">
        <v>1000000</v>
      </c>
      <c r="G16" s="33" t="n">
        <f aca="false">E16*F16</f>
        <v>1000000</v>
      </c>
      <c r="H16" s="4"/>
      <c r="I16" s="17" t="s">
        <v>70</v>
      </c>
    </row>
    <row r="17" customFormat="false" ht="19.5" hidden="false" customHeight="true" outlineLevel="0" collapsed="false">
      <c r="A17" s="17" t="s">
        <v>290</v>
      </c>
      <c r="B17" s="17" t="s">
        <v>136</v>
      </c>
      <c r="C17" s="8" t="s">
        <v>137</v>
      </c>
      <c r="D17" s="17" t="s">
        <v>291</v>
      </c>
      <c r="E17" s="45" t="n">
        <v>242</v>
      </c>
      <c r="F17" s="45" t="n">
        <v>3200</v>
      </c>
      <c r="G17" s="33" t="n">
        <f aca="false">E17*F17</f>
        <v>774400</v>
      </c>
      <c r="H17" s="4" t="s">
        <v>292</v>
      </c>
      <c r="I17" s="17" t="s">
        <v>72</v>
      </c>
    </row>
    <row r="18" customFormat="false" ht="19.5" hidden="false" customHeight="true" outlineLevel="0" collapsed="false">
      <c r="A18" s="17"/>
      <c r="B18" s="17" t="s">
        <v>139</v>
      </c>
      <c r="C18" s="8" t="s">
        <v>140</v>
      </c>
      <c r="D18" s="17" t="s">
        <v>280</v>
      </c>
      <c r="E18" s="45" t="n">
        <v>2</v>
      </c>
      <c r="F18" s="45" t="n">
        <v>200000</v>
      </c>
      <c r="G18" s="33" t="n">
        <f aca="false">E18*F18</f>
        <v>400000</v>
      </c>
      <c r="H18" s="8" t="s">
        <v>293</v>
      </c>
      <c r="I18" s="17" t="s">
        <v>71</v>
      </c>
    </row>
    <row r="19" customFormat="false" ht="19.5" hidden="false" customHeight="true" outlineLevel="0" collapsed="false">
      <c r="A19" s="17"/>
      <c r="B19" s="17" t="s">
        <v>143</v>
      </c>
      <c r="C19" s="4" t="s">
        <v>144</v>
      </c>
      <c r="D19" s="17" t="s">
        <v>294</v>
      </c>
      <c r="E19" s="45" t="n">
        <v>2</v>
      </c>
      <c r="F19" s="45" t="n">
        <v>260000</v>
      </c>
      <c r="G19" s="33" t="n">
        <f aca="false">E19*F19</f>
        <v>520000</v>
      </c>
      <c r="H19" s="8" t="s">
        <v>295</v>
      </c>
      <c r="I19" s="17" t="s">
        <v>72</v>
      </c>
    </row>
    <row r="20" customFormat="false" ht="19.5" hidden="false" customHeight="true" outlineLevel="0" collapsed="false">
      <c r="A20" s="17"/>
      <c r="B20" s="17" t="s">
        <v>146</v>
      </c>
      <c r="C20" s="8" t="s">
        <v>147</v>
      </c>
      <c r="D20" s="17" t="s">
        <v>40</v>
      </c>
      <c r="E20" s="45" t="n">
        <v>1</v>
      </c>
      <c r="F20" s="45" t="n">
        <v>380000</v>
      </c>
      <c r="G20" s="33" t="n">
        <f aca="false">E20*F20</f>
        <v>380000</v>
      </c>
      <c r="H20" s="4"/>
      <c r="I20" s="17" t="s">
        <v>70</v>
      </c>
    </row>
    <row r="21" customFormat="false" ht="19.5" hidden="false" customHeight="true" outlineLevel="0" collapsed="false">
      <c r="A21" s="17" t="s">
        <v>72</v>
      </c>
      <c r="B21" s="17" t="s">
        <v>148</v>
      </c>
      <c r="C21" s="8" t="s">
        <v>149</v>
      </c>
      <c r="D21" s="17" t="s">
        <v>280</v>
      </c>
      <c r="E21" s="45" t="n">
        <v>28</v>
      </c>
      <c r="F21" s="45" t="n">
        <v>20000</v>
      </c>
      <c r="G21" s="33" t="n">
        <f aca="false">E21*F21</f>
        <v>560000</v>
      </c>
      <c r="H21" s="8" t="s">
        <v>296</v>
      </c>
      <c r="I21" s="17" t="s">
        <v>72</v>
      </c>
    </row>
    <row r="22" customFormat="false" ht="19.5" hidden="false" customHeight="true" outlineLevel="0" collapsed="false">
      <c r="A22" s="17"/>
      <c r="B22" s="17" t="s">
        <v>151</v>
      </c>
      <c r="C22" s="8" t="s">
        <v>152</v>
      </c>
      <c r="D22" s="17" t="s">
        <v>285</v>
      </c>
      <c r="E22" s="45" t="n">
        <v>6</v>
      </c>
      <c r="F22" s="45" t="n">
        <v>85000</v>
      </c>
      <c r="G22" s="33" t="n">
        <f aca="false">E22*F22</f>
        <v>510000</v>
      </c>
      <c r="H22" s="4" t="s">
        <v>297</v>
      </c>
      <c r="I22" s="17" t="s">
        <v>72</v>
      </c>
    </row>
    <row r="23" customFormat="false" ht="19.5" hidden="false" customHeight="true" outlineLevel="0" collapsed="false">
      <c r="A23" s="46" t="s">
        <v>298</v>
      </c>
      <c r="B23" s="46"/>
      <c r="C23" s="46"/>
      <c r="D23" s="46"/>
      <c r="E23" s="46"/>
      <c r="F23" s="46"/>
      <c r="G23" s="47" t="n">
        <f aca="false">SUMIF($I$8:$I$22,"재료비",$G$8:$G$22)</f>
        <v>1380000</v>
      </c>
      <c r="H23" s="20"/>
      <c r="I23" s="20"/>
    </row>
    <row r="24" customFormat="false" ht="19.5" hidden="false" customHeight="true" outlineLevel="0" collapsed="false">
      <c r="A24" s="46" t="s">
        <v>299</v>
      </c>
      <c r="B24" s="46"/>
      <c r="C24" s="46"/>
      <c r="D24" s="46"/>
      <c r="E24" s="46"/>
      <c r="F24" s="46"/>
      <c r="G24" s="47" t="n">
        <f aca="false">SUMIF($I$8:$I$22,"노무비",$G$8:$G$22)</f>
        <v>8180000</v>
      </c>
      <c r="H24" s="20"/>
      <c r="I24" s="20"/>
    </row>
    <row r="25" customFormat="false" ht="19.5" hidden="false" customHeight="true" outlineLevel="0" collapsed="false">
      <c r="A25" s="46" t="s">
        <v>300</v>
      </c>
      <c r="B25" s="46"/>
      <c r="C25" s="46"/>
      <c r="D25" s="46"/>
      <c r="E25" s="46"/>
      <c r="F25" s="46"/>
      <c r="G25" s="47" t="n">
        <f aca="false">SUMIF($I$8:$I$22,"경비",$G$8:$G$22)</f>
        <v>12104400</v>
      </c>
      <c r="H25" s="20"/>
      <c r="I25" s="20"/>
    </row>
    <row r="26" customFormat="false" ht="19.5" hidden="false" customHeight="true" outlineLevel="0" collapsed="false">
      <c r="A26" s="46" t="s">
        <v>73</v>
      </c>
      <c r="B26" s="46"/>
      <c r="C26" s="46"/>
      <c r="D26" s="46"/>
      <c r="E26" s="46"/>
      <c r="F26" s="46"/>
      <c r="G26" s="47" t="n">
        <f aca="false">G24*요율근거!$C$5</f>
        <v>291208</v>
      </c>
      <c r="H26" s="43" t="s">
        <v>301</v>
      </c>
      <c r="I26" s="43"/>
    </row>
    <row r="27" customFormat="false" ht="19.5" hidden="false" customHeight="true" outlineLevel="0" collapsed="false">
      <c r="A27" s="46" t="s">
        <v>74</v>
      </c>
      <c r="B27" s="46"/>
      <c r="C27" s="46"/>
      <c r="D27" s="46"/>
      <c r="E27" s="46"/>
      <c r="F27" s="46"/>
      <c r="G27" s="47" t="n">
        <f aca="false">G24*요율근거!$C$6</f>
        <v>94070</v>
      </c>
      <c r="H27" s="43" t="s">
        <v>302</v>
      </c>
      <c r="I27" s="43"/>
    </row>
    <row r="28" customFormat="false" ht="19.5" hidden="false" customHeight="true" outlineLevel="0" collapsed="false">
      <c r="A28" s="46" t="s">
        <v>75</v>
      </c>
      <c r="B28" s="46"/>
      <c r="C28" s="46"/>
      <c r="D28" s="46"/>
      <c r="E28" s="46"/>
      <c r="F28" s="46"/>
      <c r="G28" s="47" t="n">
        <f aca="false">(G23+G24)*요율근거!$C$7</f>
        <v>297316</v>
      </c>
      <c r="H28" s="20" t="s">
        <v>303</v>
      </c>
      <c r="I28" s="20"/>
    </row>
    <row r="29" customFormat="false" ht="19.5" hidden="false" customHeight="true" outlineLevel="0" collapsed="false">
      <c r="A29" s="3" t="s">
        <v>76</v>
      </c>
      <c r="B29" s="3"/>
      <c r="C29" s="3"/>
      <c r="D29" s="3"/>
      <c r="E29" s="3"/>
      <c r="F29" s="3"/>
      <c r="G29" s="19" t="n">
        <f aca="false">SUM(G23:G28)</f>
        <v>22346994</v>
      </c>
      <c r="H29" s="20"/>
      <c r="I29" s="20"/>
    </row>
    <row r="30" customFormat="false" ht="19.5" hidden="false" customHeight="true" outlineLevel="0" collapsed="false">
      <c r="A30" s="46" t="s">
        <v>77</v>
      </c>
      <c r="B30" s="46"/>
      <c r="C30" s="46"/>
      <c r="D30" s="46"/>
      <c r="E30" s="46"/>
      <c r="F30" s="46"/>
      <c r="G30" s="47" t="n">
        <f aca="false">G29*요율근거!$C$8</f>
        <v>1117349.7</v>
      </c>
      <c r="H30" s="43" t="s">
        <v>304</v>
      </c>
      <c r="I30" s="43"/>
    </row>
    <row r="31" customFormat="false" ht="19.5" hidden="false" customHeight="true" outlineLevel="0" collapsed="false">
      <c r="A31" s="46" t="s">
        <v>78</v>
      </c>
      <c r="B31" s="46"/>
      <c r="C31" s="46"/>
      <c r="D31" s="46"/>
      <c r="E31" s="46"/>
      <c r="F31" s="46"/>
      <c r="G31" s="47" t="n">
        <f aca="false">(G24+G25+G26+G27+G28+G30)*요율근거!$C$9</f>
        <v>2650121.244</v>
      </c>
      <c r="H31" s="20" t="s">
        <v>305</v>
      </c>
      <c r="I31" s="20"/>
    </row>
    <row r="32" customFormat="false" ht="19.5" hidden="false" customHeight="true" outlineLevel="0" collapsed="false">
      <c r="A32" s="46" t="s">
        <v>79</v>
      </c>
      <c r="B32" s="46"/>
      <c r="C32" s="46"/>
      <c r="D32" s="46"/>
      <c r="E32" s="46"/>
      <c r="F32" s="46"/>
      <c r="G32" s="47" t="n">
        <f aca="false">-MOD(G29+G30+G31,1000)</f>
        <v>-464.943999998271</v>
      </c>
      <c r="H32" s="43" t="s">
        <v>306</v>
      </c>
      <c r="I32" s="43"/>
    </row>
    <row r="33" customFormat="false" ht="19.5" hidden="false" customHeight="true" outlineLevel="0" collapsed="false">
      <c r="A33" s="48" t="s">
        <v>156</v>
      </c>
      <c r="B33" s="48"/>
      <c r="C33" s="48"/>
      <c r="D33" s="48"/>
      <c r="E33" s="48"/>
      <c r="F33" s="48"/>
      <c r="G33" s="49" t="n">
        <f aca="false">G29+G30+G31+G32</f>
        <v>26114000</v>
      </c>
      <c r="H33" s="10" t="s">
        <v>307</v>
      </c>
      <c r="I33" s="10"/>
    </row>
    <row r="35" customFormat="false" ht="13.4" hidden="false" customHeight="false" outlineLevel="0" collapsed="false">
      <c r="A35" s="50" t="s">
        <v>308</v>
      </c>
      <c r="B35" s="50"/>
      <c r="C35" s="50"/>
      <c r="D35" s="50"/>
      <c r="E35" s="50"/>
      <c r="F35" s="50"/>
      <c r="G35" s="50"/>
      <c r="H35" s="50"/>
      <c r="I35" s="50"/>
    </row>
    <row r="36" customFormat="false" ht="13.4" hidden="false" customHeight="false" outlineLevel="0" collapsed="false">
      <c r="A36" s="51" t="s">
        <v>309</v>
      </c>
      <c r="B36" s="51"/>
      <c r="C36" s="51"/>
      <c r="D36" s="51"/>
      <c r="E36" s="51"/>
      <c r="F36" s="51"/>
      <c r="G36" s="51"/>
      <c r="H36" s="51"/>
      <c r="I36" s="51"/>
    </row>
  </sheetData>
  <mergeCells count="31">
    <mergeCell ref="A1:I2"/>
    <mergeCell ref="A3:I3"/>
    <mergeCell ref="A5:I5"/>
    <mergeCell ref="A8:A10"/>
    <mergeCell ref="A11:A15"/>
    <mergeCell ref="A17:A20"/>
    <mergeCell ref="A21:A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310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277</v>
      </c>
      <c r="F7" s="15" t="s">
        <v>278</v>
      </c>
      <c r="G7" s="15" t="s">
        <v>279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158</v>
      </c>
      <c r="C8" s="4" t="s">
        <v>159</v>
      </c>
      <c r="D8" s="17" t="s">
        <v>280</v>
      </c>
      <c r="E8" s="45" t="n">
        <v>9</v>
      </c>
      <c r="F8" s="45" t="n">
        <v>450000</v>
      </c>
      <c r="G8" s="33" t="n">
        <f aca="false">E8*F8</f>
        <v>4050000</v>
      </c>
      <c r="H8" s="4" t="s">
        <v>311</v>
      </c>
      <c r="I8" s="17" t="s">
        <v>71</v>
      </c>
    </row>
    <row r="9" customFormat="false" ht="19.5" hidden="false" customHeight="true" outlineLevel="0" collapsed="false">
      <c r="A9" s="17"/>
      <c r="B9" s="17" t="s">
        <v>163</v>
      </c>
      <c r="C9" s="8" t="s">
        <v>164</v>
      </c>
      <c r="D9" s="17" t="s">
        <v>280</v>
      </c>
      <c r="E9" s="45" t="n">
        <v>6</v>
      </c>
      <c r="F9" s="45" t="n">
        <v>330000</v>
      </c>
      <c r="G9" s="33" t="n">
        <f aca="false">E9*F9</f>
        <v>1980000</v>
      </c>
      <c r="H9" s="4" t="s">
        <v>312</v>
      </c>
      <c r="I9" s="17" t="s">
        <v>71</v>
      </c>
    </row>
    <row r="10" customFormat="false" ht="19.5" hidden="false" customHeight="true" outlineLevel="0" collapsed="false">
      <c r="A10" s="17"/>
      <c r="B10" s="17" t="s">
        <v>167</v>
      </c>
      <c r="C10" s="8" t="s">
        <v>168</v>
      </c>
      <c r="D10" s="17" t="s">
        <v>280</v>
      </c>
      <c r="E10" s="45" t="n">
        <v>4</v>
      </c>
      <c r="F10" s="45" t="n">
        <v>300000</v>
      </c>
      <c r="G10" s="33" t="n">
        <f aca="false">E10*F10</f>
        <v>1200000</v>
      </c>
      <c r="H10" s="4" t="s">
        <v>313</v>
      </c>
      <c r="I10" s="17" t="s">
        <v>71</v>
      </c>
    </row>
    <row r="11" customFormat="false" ht="19.5" hidden="false" customHeight="true" outlineLevel="0" collapsed="false">
      <c r="A11" s="17"/>
      <c r="B11" s="17" t="s">
        <v>140</v>
      </c>
      <c r="C11" s="8" t="s">
        <v>171</v>
      </c>
      <c r="D11" s="17" t="s">
        <v>280</v>
      </c>
      <c r="E11" s="45" t="n">
        <v>4</v>
      </c>
      <c r="F11" s="45" t="n">
        <v>200000</v>
      </c>
      <c r="G11" s="33" t="n">
        <f aca="false">E11*F11</f>
        <v>800000</v>
      </c>
      <c r="H11" s="4" t="s">
        <v>313</v>
      </c>
      <c r="I11" s="17" t="s">
        <v>71</v>
      </c>
    </row>
    <row r="12" customFormat="false" ht="19.5" hidden="false" customHeight="true" outlineLevel="0" collapsed="false">
      <c r="A12" s="17"/>
      <c r="B12" s="17" t="s">
        <v>173</v>
      </c>
      <c r="C12" s="8" t="s">
        <v>174</v>
      </c>
      <c r="D12" s="17" t="s">
        <v>280</v>
      </c>
      <c r="E12" s="45" t="n">
        <v>5</v>
      </c>
      <c r="F12" s="45" t="n">
        <v>250000</v>
      </c>
      <c r="G12" s="33" t="n">
        <f aca="false">E12*F12</f>
        <v>1250000</v>
      </c>
      <c r="H12" s="4" t="s">
        <v>314</v>
      </c>
      <c r="I12" s="17" t="s">
        <v>71</v>
      </c>
    </row>
    <row r="13" customFormat="false" ht="19.5" hidden="false" customHeight="true" outlineLevel="0" collapsed="false">
      <c r="A13" s="17" t="s">
        <v>284</v>
      </c>
      <c r="B13" s="16" t="s">
        <v>177</v>
      </c>
      <c r="C13" s="4" t="s">
        <v>178</v>
      </c>
      <c r="D13" s="17" t="s">
        <v>285</v>
      </c>
      <c r="E13" s="45" t="n">
        <v>9</v>
      </c>
      <c r="F13" s="45" t="n">
        <v>400000</v>
      </c>
      <c r="G13" s="33" t="n">
        <f aca="false">E13*F13</f>
        <v>3600000</v>
      </c>
      <c r="H13" s="4" t="s">
        <v>315</v>
      </c>
      <c r="I13" s="17" t="s">
        <v>72</v>
      </c>
    </row>
    <row r="14" customFormat="false" ht="19.5" hidden="false" customHeight="true" outlineLevel="0" collapsed="false">
      <c r="A14" s="17"/>
      <c r="B14" s="17" t="s">
        <v>180</v>
      </c>
      <c r="C14" s="8" t="s">
        <v>181</v>
      </c>
      <c r="D14" s="16" t="s">
        <v>288</v>
      </c>
      <c r="E14" s="45" t="n">
        <v>1</v>
      </c>
      <c r="F14" s="45" t="n">
        <v>800000</v>
      </c>
      <c r="G14" s="33" t="n">
        <f aca="false">E14*F14</f>
        <v>800000</v>
      </c>
      <c r="H14" s="4"/>
      <c r="I14" s="17" t="s">
        <v>72</v>
      </c>
    </row>
    <row r="15" customFormat="false" ht="19.5" hidden="false" customHeight="true" outlineLevel="0" collapsed="false">
      <c r="A15" s="17" t="s">
        <v>70</v>
      </c>
      <c r="B15" s="17" t="s">
        <v>182</v>
      </c>
      <c r="C15" s="4" t="s">
        <v>183</v>
      </c>
      <c r="D15" s="17" t="s">
        <v>40</v>
      </c>
      <c r="E15" s="45" t="n">
        <v>1</v>
      </c>
      <c r="F15" s="45" t="n">
        <v>3680000</v>
      </c>
      <c r="G15" s="33" t="n">
        <f aca="false">E15*F15</f>
        <v>3680000</v>
      </c>
      <c r="H15" s="8" t="s">
        <v>316</v>
      </c>
      <c r="I15" s="17" t="s">
        <v>70</v>
      </c>
    </row>
    <row r="16" customFormat="false" ht="19.5" hidden="false" customHeight="true" outlineLevel="0" collapsed="false">
      <c r="A16" s="17" t="s">
        <v>284</v>
      </c>
      <c r="B16" s="17" t="s">
        <v>186</v>
      </c>
      <c r="C16" s="8" t="s">
        <v>187</v>
      </c>
      <c r="D16" s="17" t="s">
        <v>40</v>
      </c>
      <c r="E16" s="45" t="n">
        <v>1</v>
      </c>
      <c r="F16" s="45" t="n">
        <v>1000000</v>
      </c>
      <c r="G16" s="33" t="n">
        <f aca="false">E16*F16</f>
        <v>1000000</v>
      </c>
      <c r="H16" s="8" t="s">
        <v>317</v>
      </c>
      <c r="I16" s="17" t="s">
        <v>72</v>
      </c>
    </row>
    <row r="17" customFormat="false" ht="19.5" hidden="false" customHeight="true" outlineLevel="0" collapsed="false">
      <c r="A17" s="17" t="s">
        <v>72</v>
      </c>
      <c r="B17" s="17" t="s">
        <v>148</v>
      </c>
      <c r="C17" s="8" t="s">
        <v>149</v>
      </c>
      <c r="D17" s="17" t="s">
        <v>280</v>
      </c>
      <c r="E17" s="45" t="n">
        <v>28</v>
      </c>
      <c r="F17" s="45" t="n">
        <v>20000</v>
      </c>
      <c r="G17" s="33" t="n">
        <f aca="false">E17*F17</f>
        <v>560000</v>
      </c>
      <c r="H17" s="8" t="s">
        <v>318</v>
      </c>
      <c r="I17" s="17" t="s">
        <v>72</v>
      </c>
    </row>
    <row r="18" customFormat="false" ht="19.5" hidden="false" customHeight="true" outlineLevel="0" collapsed="false">
      <c r="A18" s="17"/>
      <c r="B18" s="17" t="s">
        <v>151</v>
      </c>
      <c r="C18" s="8" t="s">
        <v>152</v>
      </c>
      <c r="D18" s="17" t="s">
        <v>285</v>
      </c>
      <c r="E18" s="45" t="n">
        <v>10</v>
      </c>
      <c r="F18" s="45" t="n">
        <v>85000</v>
      </c>
      <c r="G18" s="33" t="n">
        <f aca="false">E18*F18</f>
        <v>850000</v>
      </c>
      <c r="H18" s="4" t="s">
        <v>319</v>
      </c>
      <c r="I18" s="17" t="s">
        <v>72</v>
      </c>
    </row>
    <row r="19" customFormat="false" ht="19.5" hidden="false" customHeight="true" outlineLevel="0" collapsed="false">
      <c r="A19" s="46" t="s">
        <v>298</v>
      </c>
      <c r="B19" s="46"/>
      <c r="C19" s="46"/>
      <c r="D19" s="46"/>
      <c r="E19" s="46"/>
      <c r="F19" s="46"/>
      <c r="G19" s="47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6" t="s">
        <v>299</v>
      </c>
      <c r="B20" s="46"/>
      <c r="C20" s="46"/>
      <c r="D20" s="46"/>
      <c r="E20" s="46"/>
      <c r="F20" s="46"/>
      <c r="G20" s="47" t="n">
        <f aca="false">SUMIF($I$8:$I$18,"노무비",$G$8:$G$18)</f>
        <v>9280000</v>
      </c>
      <c r="H20" s="20"/>
      <c r="I20" s="20"/>
    </row>
    <row r="21" customFormat="false" ht="19.5" hidden="false" customHeight="true" outlineLevel="0" collapsed="false">
      <c r="A21" s="46" t="s">
        <v>300</v>
      </c>
      <c r="B21" s="46"/>
      <c r="C21" s="46"/>
      <c r="D21" s="46"/>
      <c r="E21" s="46"/>
      <c r="F21" s="46"/>
      <c r="G21" s="47" t="n">
        <f aca="false">SUMIF($I$8:$I$18,"경비",$G$8:$G$18)</f>
        <v>6810000</v>
      </c>
      <c r="H21" s="20"/>
      <c r="I21" s="20"/>
    </row>
    <row r="22" customFormat="false" ht="19.5" hidden="false" customHeight="true" outlineLevel="0" collapsed="false">
      <c r="A22" s="46" t="s">
        <v>73</v>
      </c>
      <c r="B22" s="46"/>
      <c r="C22" s="46"/>
      <c r="D22" s="46"/>
      <c r="E22" s="46"/>
      <c r="F22" s="46"/>
      <c r="G22" s="47" t="n">
        <f aca="false">G20*요율근거!$C$5</f>
        <v>330368</v>
      </c>
      <c r="H22" s="43" t="s">
        <v>301</v>
      </c>
      <c r="I22" s="43"/>
    </row>
    <row r="23" customFormat="false" ht="19.5" hidden="false" customHeight="true" outlineLevel="0" collapsed="false">
      <c r="A23" s="46" t="s">
        <v>74</v>
      </c>
      <c r="B23" s="46"/>
      <c r="C23" s="46"/>
      <c r="D23" s="46"/>
      <c r="E23" s="46"/>
      <c r="F23" s="46"/>
      <c r="G23" s="47" t="n">
        <f aca="false">G20*요율근거!$C$6</f>
        <v>106720</v>
      </c>
      <c r="H23" s="43" t="s">
        <v>302</v>
      </c>
      <c r="I23" s="43"/>
    </row>
    <row r="24" customFormat="false" ht="19.5" hidden="false" customHeight="true" outlineLevel="0" collapsed="false">
      <c r="A24" s="46" t="s">
        <v>75</v>
      </c>
      <c r="B24" s="46"/>
      <c r="C24" s="46"/>
      <c r="D24" s="46"/>
      <c r="E24" s="46"/>
      <c r="F24" s="46"/>
      <c r="G24" s="47" t="n">
        <f aca="false">(G19+G20)*요율근거!$C$7</f>
        <v>403056</v>
      </c>
      <c r="H24" s="20" t="s">
        <v>303</v>
      </c>
      <c r="I24" s="20"/>
    </row>
    <row r="25" customFormat="false" ht="19.5" hidden="false" customHeight="true" outlineLevel="0" collapsed="false">
      <c r="A25" s="3" t="s">
        <v>76</v>
      </c>
      <c r="B25" s="3"/>
      <c r="C25" s="3"/>
      <c r="D25" s="3"/>
      <c r="E25" s="3"/>
      <c r="F25" s="3"/>
      <c r="G25" s="19" t="n">
        <f aca="false">SUM(G19:G24)</f>
        <v>20610144</v>
      </c>
      <c r="H25" s="20"/>
      <c r="I25" s="20"/>
    </row>
    <row r="26" customFormat="false" ht="19.5" hidden="false" customHeight="true" outlineLevel="0" collapsed="false">
      <c r="A26" s="46" t="s">
        <v>77</v>
      </c>
      <c r="B26" s="46"/>
      <c r="C26" s="46"/>
      <c r="D26" s="46"/>
      <c r="E26" s="46"/>
      <c r="F26" s="46"/>
      <c r="G26" s="47" t="n">
        <f aca="false">G25*요율근거!$C$8</f>
        <v>1030507.2</v>
      </c>
      <c r="H26" s="43" t="s">
        <v>304</v>
      </c>
      <c r="I26" s="43"/>
    </row>
    <row r="27" customFormat="false" ht="19.5" hidden="false" customHeight="true" outlineLevel="0" collapsed="false">
      <c r="A27" s="46" t="s">
        <v>78</v>
      </c>
      <c r="B27" s="46"/>
      <c r="C27" s="46"/>
      <c r="D27" s="46"/>
      <c r="E27" s="46"/>
      <c r="F27" s="46"/>
      <c r="G27" s="47" t="n">
        <f aca="false">(G20+G21+G22+G23+G24+G26)*요율근거!$C$10</f>
        <v>2155278.144</v>
      </c>
      <c r="H27" s="20" t="s">
        <v>305</v>
      </c>
      <c r="I27" s="20"/>
    </row>
    <row r="28" customFormat="false" ht="19.5" hidden="false" customHeight="true" outlineLevel="0" collapsed="false">
      <c r="A28" s="46" t="s">
        <v>79</v>
      </c>
      <c r="B28" s="46"/>
      <c r="C28" s="46"/>
      <c r="D28" s="46"/>
      <c r="E28" s="46"/>
      <c r="F28" s="46"/>
      <c r="G28" s="47" t="n">
        <f aca="false">-MOD(G25+G26+G27,1000)</f>
        <v>-929.344000000507</v>
      </c>
      <c r="H28" s="43" t="s">
        <v>306</v>
      </c>
      <c r="I28" s="43"/>
    </row>
    <row r="29" customFormat="false" ht="19.5" hidden="false" customHeight="true" outlineLevel="0" collapsed="false">
      <c r="A29" s="48" t="s">
        <v>156</v>
      </c>
      <c r="B29" s="48"/>
      <c r="C29" s="48"/>
      <c r="D29" s="48"/>
      <c r="E29" s="48"/>
      <c r="F29" s="48"/>
      <c r="G29" s="49" t="n">
        <f aca="false">G25+G26+G27+G28</f>
        <v>23795000</v>
      </c>
      <c r="H29" s="10" t="s">
        <v>307</v>
      </c>
      <c r="I29" s="10"/>
    </row>
    <row r="31" customFormat="false" ht="13.4" hidden="false" customHeight="false" outlineLevel="0" collapsed="false">
      <c r="A31" s="50" t="s">
        <v>308</v>
      </c>
      <c r="B31" s="50"/>
      <c r="C31" s="50"/>
      <c r="D31" s="50"/>
      <c r="E31" s="50"/>
      <c r="F31" s="50"/>
      <c r="G31" s="50"/>
      <c r="H31" s="50"/>
      <c r="I31" s="50"/>
    </row>
    <row r="32" customFormat="false" ht="13.4" hidden="false" customHeight="false" outlineLevel="0" collapsed="false">
      <c r="A32" s="51" t="s">
        <v>309</v>
      </c>
      <c r="B32" s="51"/>
      <c r="C32" s="51"/>
      <c r="D32" s="51"/>
      <c r="E32" s="51"/>
      <c r="F32" s="51"/>
      <c r="G32" s="51"/>
      <c r="H32" s="51"/>
      <c r="I32" s="51"/>
    </row>
  </sheetData>
  <mergeCells count="30">
    <mergeCell ref="A1:I2"/>
    <mergeCell ref="A3:I3"/>
    <mergeCell ref="A5:I5"/>
    <mergeCell ref="A8:A12"/>
    <mergeCell ref="A13:A14"/>
    <mergeCell ref="A17:A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320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277</v>
      </c>
      <c r="F7" s="15" t="s">
        <v>278</v>
      </c>
      <c r="G7" s="15" t="s">
        <v>279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70</v>
      </c>
      <c r="B8" s="16" t="s">
        <v>191</v>
      </c>
      <c r="C8" s="4" t="s">
        <v>192</v>
      </c>
      <c r="D8" s="16" t="s">
        <v>321</v>
      </c>
      <c r="E8" s="45" t="n">
        <v>9991</v>
      </c>
      <c r="F8" s="45" t="n">
        <v>700</v>
      </c>
      <c r="G8" s="33" t="n">
        <f aca="false">E8*F8</f>
        <v>6993700</v>
      </c>
      <c r="H8" s="8" t="s">
        <v>322</v>
      </c>
      <c r="I8" s="17" t="s">
        <v>70</v>
      </c>
    </row>
    <row r="9" customFormat="false" ht="19.5" hidden="false" customHeight="true" outlineLevel="0" collapsed="false">
      <c r="A9" s="17"/>
      <c r="B9" s="16" t="s">
        <v>195</v>
      </c>
      <c r="C9" s="4"/>
      <c r="D9" s="17" t="s">
        <v>40</v>
      </c>
      <c r="E9" s="45" t="n">
        <v>1</v>
      </c>
      <c r="F9" s="45" t="n">
        <v>160000</v>
      </c>
      <c r="G9" s="33" t="n">
        <f aca="false">E9*F9</f>
        <v>160000</v>
      </c>
      <c r="H9" s="4"/>
      <c r="I9" s="17" t="s">
        <v>70</v>
      </c>
    </row>
    <row r="10" customFormat="false" ht="19.5" hidden="false" customHeight="true" outlineLevel="0" collapsed="false">
      <c r="A10" s="17"/>
      <c r="B10" s="17" t="s">
        <v>197</v>
      </c>
      <c r="C10" s="4"/>
      <c r="D10" s="17" t="s">
        <v>40</v>
      </c>
      <c r="E10" s="45" t="n">
        <v>1</v>
      </c>
      <c r="F10" s="45" t="n">
        <v>160000</v>
      </c>
      <c r="G10" s="33" t="n">
        <f aca="false">E10*F10</f>
        <v>160000</v>
      </c>
      <c r="H10" s="8" t="s">
        <v>323</v>
      </c>
      <c r="I10" s="17" t="s">
        <v>70</v>
      </c>
    </row>
    <row r="11" customFormat="false" ht="19.5" hidden="false" customHeight="true" outlineLevel="0" collapsed="false">
      <c r="A11" s="17"/>
      <c r="B11" s="17" t="s">
        <v>182</v>
      </c>
      <c r="C11" s="8" t="s">
        <v>198</v>
      </c>
      <c r="D11" s="17" t="s">
        <v>40</v>
      </c>
      <c r="E11" s="45" t="n">
        <v>1</v>
      </c>
      <c r="F11" s="45" t="n">
        <v>1000000</v>
      </c>
      <c r="G11" s="33" t="n">
        <f aca="false">E11*F11</f>
        <v>1000000</v>
      </c>
      <c r="H11" s="4"/>
      <c r="I11" s="17" t="s">
        <v>70</v>
      </c>
    </row>
    <row r="12" customFormat="false" ht="19.5" hidden="false" customHeight="true" outlineLevel="0" collapsed="false">
      <c r="A12" s="17"/>
      <c r="B12" s="17" t="s">
        <v>199</v>
      </c>
      <c r="C12" s="8" t="s">
        <v>200</v>
      </c>
      <c r="D12" s="17" t="s">
        <v>40</v>
      </c>
      <c r="E12" s="45" t="n">
        <v>1</v>
      </c>
      <c r="F12" s="45" t="n">
        <v>500000</v>
      </c>
      <c r="G12" s="33" t="n">
        <f aca="false">E12*F12</f>
        <v>500000</v>
      </c>
      <c r="H12" s="8" t="s">
        <v>324</v>
      </c>
      <c r="I12" s="17" t="s">
        <v>70</v>
      </c>
    </row>
    <row r="13" customFormat="false" ht="19.5" hidden="false" customHeight="true" outlineLevel="0" collapsed="false">
      <c r="A13" s="17"/>
      <c r="B13" s="17" t="s">
        <v>201</v>
      </c>
      <c r="C13" s="8" t="s">
        <v>202</v>
      </c>
      <c r="D13" s="17" t="s">
        <v>40</v>
      </c>
      <c r="E13" s="45" t="n">
        <v>1</v>
      </c>
      <c r="F13" s="45" t="n">
        <v>420000</v>
      </c>
      <c r="G13" s="33" t="n">
        <f aca="false">E13*F13</f>
        <v>420000</v>
      </c>
      <c r="H13" s="8" t="s">
        <v>325</v>
      </c>
      <c r="I13" s="17" t="s">
        <v>70</v>
      </c>
    </row>
    <row r="14" customFormat="false" ht="19.5" hidden="false" customHeight="true" outlineLevel="0" collapsed="false">
      <c r="A14" s="17" t="s">
        <v>71</v>
      </c>
      <c r="B14" s="17" t="s">
        <v>203</v>
      </c>
      <c r="C14" s="8" t="s">
        <v>204</v>
      </c>
      <c r="D14" s="17" t="s">
        <v>280</v>
      </c>
      <c r="E14" s="45" t="n">
        <v>6</v>
      </c>
      <c r="F14" s="45" t="n">
        <v>330000</v>
      </c>
      <c r="G14" s="33" t="n">
        <f aca="false">E14*F14</f>
        <v>1980000</v>
      </c>
      <c r="H14" s="4" t="s">
        <v>312</v>
      </c>
      <c r="I14" s="17" t="s">
        <v>71</v>
      </c>
    </row>
    <row r="15" customFormat="false" ht="19.5" hidden="false" customHeight="true" outlineLevel="0" collapsed="false">
      <c r="A15" s="17"/>
      <c r="B15" s="17" t="s">
        <v>158</v>
      </c>
      <c r="C15" s="8" t="s">
        <v>206</v>
      </c>
      <c r="D15" s="17" t="s">
        <v>280</v>
      </c>
      <c r="E15" s="45" t="n">
        <v>3</v>
      </c>
      <c r="F15" s="45" t="n">
        <v>450000</v>
      </c>
      <c r="G15" s="33" t="n">
        <f aca="false">E15*F15</f>
        <v>1350000</v>
      </c>
      <c r="H15" s="4" t="s">
        <v>283</v>
      </c>
      <c r="I15" s="17" t="s">
        <v>71</v>
      </c>
    </row>
    <row r="16" customFormat="false" ht="19.5" hidden="false" customHeight="true" outlineLevel="0" collapsed="false">
      <c r="A16" s="17"/>
      <c r="B16" s="17" t="s">
        <v>140</v>
      </c>
      <c r="C16" s="8" t="s">
        <v>208</v>
      </c>
      <c r="D16" s="17" t="s">
        <v>280</v>
      </c>
      <c r="E16" s="45" t="n">
        <v>3</v>
      </c>
      <c r="F16" s="45" t="n">
        <v>200000</v>
      </c>
      <c r="G16" s="33" t="n">
        <f aca="false">E16*F16</f>
        <v>600000</v>
      </c>
      <c r="H16" s="4" t="s">
        <v>283</v>
      </c>
      <c r="I16" s="17" t="s">
        <v>71</v>
      </c>
    </row>
    <row r="17" customFormat="false" ht="19.5" hidden="false" customHeight="true" outlineLevel="0" collapsed="false">
      <c r="A17" s="17"/>
      <c r="B17" s="17" t="s">
        <v>173</v>
      </c>
      <c r="C17" s="8" t="s">
        <v>210</v>
      </c>
      <c r="D17" s="17" t="s">
        <v>280</v>
      </c>
      <c r="E17" s="45" t="n">
        <v>3</v>
      </c>
      <c r="F17" s="45" t="n">
        <v>250000</v>
      </c>
      <c r="G17" s="33" t="n">
        <f aca="false">E17*F17</f>
        <v>750000</v>
      </c>
      <c r="H17" s="4" t="s">
        <v>283</v>
      </c>
      <c r="I17" s="17" t="s">
        <v>71</v>
      </c>
    </row>
    <row r="18" customFormat="false" ht="19.5" hidden="false" customHeight="true" outlineLevel="0" collapsed="false">
      <c r="A18" s="17" t="s">
        <v>284</v>
      </c>
      <c r="B18" s="17" t="s">
        <v>212</v>
      </c>
      <c r="C18" s="8" t="s">
        <v>213</v>
      </c>
      <c r="D18" s="17" t="s">
        <v>326</v>
      </c>
      <c r="E18" s="45" t="n">
        <v>2</v>
      </c>
      <c r="F18" s="45" t="n">
        <v>300000</v>
      </c>
      <c r="G18" s="33" t="n">
        <f aca="false">E18*F18</f>
        <v>600000</v>
      </c>
      <c r="H18" s="4"/>
      <c r="I18" s="17" t="s">
        <v>72</v>
      </c>
    </row>
    <row r="19" customFormat="false" ht="19.5" hidden="false" customHeight="true" outlineLevel="0" collapsed="false">
      <c r="A19" s="17"/>
      <c r="B19" s="17" t="s">
        <v>212</v>
      </c>
      <c r="C19" s="8" t="s">
        <v>215</v>
      </c>
      <c r="D19" s="17" t="s">
        <v>326</v>
      </c>
      <c r="E19" s="45" t="n">
        <v>1</v>
      </c>
      <c r="F19" s="45" t="n">
        <v>300000</v>
      </c>
      <c r="G19" s="33" t="n">
        <f aca="false">E19*F19</f>
        <v>300000</v>
      </c>
      <c r="H19" s="4"/>
      <c r="I19" s="17" t="s">
        <v>72</v>
      </c>
    </row>
    <row r="20" customFormat="false" ht="19.5" hidden="false" customHeight="true" outlineLevel="0" collapsed="false">
      <c r="A20" s="17"/>
      <c r="B20" s="16" t="s">
        <v>177</v>
      </c>
      <c r="C20" s="4" t="s">
        <v>178</v>
      </c>
      <c r="D20" s="17" t="s">
        <v>285</v>
      </c>
      <c r="E20" s="45" t="n">
        <v>3</v>
      </c>
      <c r="F20" s="45" t="n">
        <v>400000</v>
      </c>
      <c r="G20" s="33" t="n">
        <f aca="false">E20*F20</f>
        <v>1200000</v>
      </c>
      <c r="H20" s="4" t="s">
        <v>327</v>
      </c>
      <c r="I20" s="17" t="s">
        <v>72</v>
      </c>
    </row>
    <row r="21" customFormat="false" ht="19.5" hidden="false" customHeight="true" outlineLevel="0" collapsed="false">
      <c r="A21" s="17"/>
      <c r="B21" s="17" t="s">
        <v>219</v>
      </c>
      <c r="C21" s="8" t="s">
        <v>220</v>
      </c>
      <c r="D21" s="17" t="s">
        <v>40</v>
      </c>
      <c r="E21" s="45" t="n">
        <v>1</v>
      </c>
      <c r="F21" s="45" t="n">
        <v>300000</v>
      </c>
      <c r="G21" s="33" t="n">
        <f aca="false">E21*F21</f>
        <v>300000</v>
      </c>
      <c r="H21" s="4"/>
      <c r="I21" s="17" t="s">
        <v>72</v>
      </c>
    </row>
    <row r="22" customFormat="false" ht="19.5" hidden="false" customHeight="true" outlineLevel="0" collapsed="false">
      <c r="A22" s="17" t="s">
        <v>72</v>
      </c>
      <c r="B22" s="17" t="s">
        <v>148</v>
      </c>
      <c r="C22" s="8" t="s">
        <v>149</v>
      </c>
      <c r="D22" s="17" t="s">
        <v>280</v>
      </c>
      <c r="E22" s="45" t="n">
        <v>15</v>
      </c>
      <c r="F22" s="45" t="n">
        <v>20000</v>
      </c>
      <c r="G22" s="33" t="n">
        <f aca="false">E22*F22</f>
        <v>300000</v>
      </c>
      <c r="H22" s="8" t="s">
        <v>328</v>
      </c>
      <c r="I22" s="17" t="s">
        <v>72</v>
      </c>
    </row>
    <row r="23" customFormat="false" ht="19.5" hidden="false" customHeight="true" outlineLevel="0" collapsed="false">
      <c r="A23" s="17"/>
      <c r="B23" s="17" t="s">
        <v>151</v>
      </c>
      <c r="C23" s="8" t="s">
        <v>152</v>
      </c>
      <c r="D23" s="17" t="s">
        <v>285</v>
      </c>
      <c r="E23" s="45" t="n">
        <v>3</v>
      </c>
      <c r="F23" s="45" t="n">
        <v>85000</v>
      </c>
      <c r="G23" s="33" t="n">
        <f aca="false">E23*F23</f>
        <v>255000</v>
      </c>
      <c r="H23" s="4" t="s">
        <v>327</v>
      </c>
      <c r="I23" s="17" t="s">
        <v>72</v>
      </c>
    </row>
    <row r="24" customFormat="false" ht="19.5" hidden="false" customHeight="true" outlineLevel="0" collapsed="false">
      <c r="A24" s="46" t="s">
        <v>298</v>
      </c>
      <c r="B24" s="46"/>
      <c r="C24" s="46"/>
      <c r="D24" s="46"/>
      <c r="E24" s="46"/>
      <c r="F24" s="46"/>
      <c r="G24" s="47" t="n">
        <f aca="false">SUMIF($I$8:$I$23,"재료비",$G$8:$G$23)</f>
        <v>9233700</v>
      </c>
      <c r="H24" s="20"/>
      <c r="I24" s="20"/>
    </row>
    <row r="25" customFormat="false" ht="19.5" hidden="false" customHeight="true" outlineLevel="0" collapsed="false">
      <c r="A25" s="46" t="s">
        <v>299</v>
      </c>
      <c r="B25" s="46"/>
      <c r="C25" s="46"/>
      <c r="D25" s="46"/>
      <c r="E25" s="46"/>
      <c r="F25" s="46"/>
      <c r="G25" s="47" t="n">
        <f aca="false">SUMIF($I$8:$I$23,"노무비",$G$8:$G$23)</f>
        <v>4680000</v>
      </c>
      <c r="H25" s="20"/>
      <c r="I25" s="20"/>
    </row>
    <row r="26" customFormat="false" ht="19.5" hidden="false" customHeight="true" outlineLevel="0" collapsed="false">
      <c r="A26" s="46" t="s">
        <v>300</v>
      </c>
      <c r="B26" s="46"/>
      <c r="C26" s="46"/>
      <c r="D26" s="46"/>
      <c r="E26" s="46"/>
      <c r="F26" s="46"/>
      <c r="G26" s="47" t="n">
        <f aca="false">SUMIF($I$8:$I$23,"경비",$G$8:$G$23)</f>
        <v>2955000</v>
      </c>
      <c r="H26" s="20"/>
      <c r="I26" s="20"/>
    </row>
    <row r="27" customFormat="false" ht="19.5" hidden="false" customHeight="true" outlineLevel="0" collapsed="false">
      <c r="A27" s="46" t="s">
        <v>73</v>
      </c>
      <c r="B27" s="46"/>
      <c r="C27" s="46"/>
      <c r="D27" s="46"/>
      <c r="E27" s="46"/>
      <c r="F27" s="46"/>
      <c r="G27" s="47" t="n">
        <f aca="false">G25*요율근거!$C$5</f>
        <v>166608</v>
      </c>
      <c r="H27" s="43" t="s">
        <v>301</v>
      </c>
      <c r="I27" s="43"/>
    </row>
    <row r="28" customFormat="false" ht="19.5" hidden="false" customHeight="true" outlineLevel="0" collapsed="false">
      <c r="A28" s="46" t="s">
        <v>74</v>
      </c>
      <c r="B28" s="46"/>
      <c r="C28" s="46"/>
      <c r="D28" s="46"/>
      <c r="E28" s="46"/>
      <c r="F28" s="46"/>
      <c r="G28" s="47" t="n">
        <f aca="false">G25*요율근거!$C$6</f>
        <v>53820</v>
      </c>
      <c r="H28" s="43" t="s">
        <v>302</v>
      </c>
      <c r="I28" s="43"/>
    </row>
    <row r="29" customFormat="false" ht="19.5" hidden="false" customHeight="true" outlineLevel="0" collapsed="false">
      <c r="A29" s="46" t="s">
        <v>75</v>
      </c>
      <c r="B29" s="46"/>
      <c r="C29" s="46"/>
      <c r="D29" s="46"/>
      <c r="E29" s="46"/>
      <c r="F29" s="46"/>
      <c r="G29" s="47" t="n">
        <f aca="false">(G24+G25)*요율근거!$C$7</f>
        <v>432716.07</v>
      </c>
      <c r="H29" s="20" t="s">
        <v>303</v>
      </c>
      <c r="I29" s="20"/>
    </row>
    <row r="30" customFormat="false" ht="19.5" hidden="false" customHeight="true" outlineLevel="0" collapsed="false">
      <c r="A30" s="3" t="s">
        <v>76</v>
      </c>
      <c r="B30" s="3"/>
      <c r="C30" s="3"/>
      <c r="D30" s="3"/>
      <c r="E30" s="3"/>
      <c r="F30" s="3"/>
      <c r="G30" s="19" t="n">
        <f aca="false">SUM(G24:G29)</f>
        <v>17521844.07</v>
      </c>
      <c r="H30" s="20"/>
      <c r="I30" s="20"/>
    </row>
    <row r="31" customFormat="false" ht="19.5" hidden="false" customHeight="true" outlineLevel="0" collapsed="false">
      <c r="A31" s="46" t="s">
        <v>77</v>
      </c>
      <c r="B31" s="46"/>
      <c r="C31" s="46"/>
      <c r="D31" s="46"/>
      <c r="E31" s="46"/>
      <c r="F31" s="46"/>
      <c r="G31" s="47" t="n">
        <f aca="false">G30*요율근거!$C$8</f>
        <v>876092.2035</v>
      </c>
      <c r="H31" s="43" t="s">
        <v>304</v>
      </c>
      <c r="I31" s="43"/>
    </row>
    <row r="32" customFormat="false" ht="19.5" hidden="false" customHeight="true" outlineLevel="0" collapsed="false">
      <c r="A32" s="46" t="s">
        <v>78</v>
      </c>
      <c r="B32" s="46"/>
      <c r="C32" s="46"/>
      <c r="D32" s="46"/>
      <c r="E32" s="46"/>
      <c r="F32" s="46"/>
      <c r="G32" s="47" t="n">
        <f aca="false">(G25+G26+G27+G28+G29+G31)*요율근거!$C$11</f>
        <v>1099708.35282</v>
      </c>
      <c r="H32" s="20" t="s">
        <v>305</v>
      </c>
      <c r="I32" s="20"/>
    </row>
    <row r="33" customFormat="false" ht="19.5" hidden="false" customHeight="true" outlineLevel="0" collapsed="false">
      <c r="A33" s="46" t="s">
        <v>79</v>
      </c>
      <c r="B33" s="46"/>
      <c r="C33" s="46"/>
      <c r="D33" s="46"/>
      <c r="E33" s="46"/>
      <c r="F33" s="46"/>
      <c r="G33" s="47" t="n">
        <f aca="false">-MOD(G30+G31+G32,1000)</f>
        <v>-644.626320000738</v>
      </c>
      <c r="H33" s="43" t="s">
        <v>306</v>
      </c>
      <c r="I33" s="43"/>
    </row>
    <row r="34" customFormat="false" ht="19.5" hidden="false" customHeight="true" outlineLevel="0" collapsed="false">
      <c r="A34" s="48" t="s">
        <v>156</v>
      </c>
      <c r="B34" s="48"/>
      <c r="C34" s="48"/>
      <c r="D34" s="48"/>
      <c r="E34" s="48"/>
      <c r="F34" s="48"/>
      <c r="G34" s="49" t="n">
        <f aca="false">G30+G31+G32+G33</f>
        <v>19497000</v>
      </c>
      <c r="H34" s="10" t="s">
        <v>307</v>
      </c>
      <c r="I34" s="10"/>
    </row>
    <row r="36" customFormat="false" ht="13.4" hidden="false" customHeight="false" outlineLevel="0" collapsed="false">
      <c r="A36" s="50" t="s">
        <v>308</v>
      </c>
      <c r="B36" s="50"/>
      <c r="C36" s="50"/>
      <c r="D36" s="50"/>
      <c r="E36" s="50"/>
      <c r="F36" s="50"/>
      <c r="G36" s="50"/>
      <c r="H36" s="50"/>
      <c r="I36" s="50"/>
    </row>
    <row r="37" customFormat="false" ht="13.4" hidden="false" customHeight="false" outlineLevel="0" collapsed="false">
      <c r="A37" s="51" t="s">
        <v>309</v>
      </c>
      <c r="B37" s="51"/>
      <c r="C37" s="51"/>
      <c r="D37" s="51"/>
      <c r="E37" s="51"/>
      <c r="F37" s="51"/>
      <c r="G37" s="51"/>
      <c r="H37" s="51"/>
      <c r="I37" s="51"/>
    </row>
  </sheetData>
  <mergeCells count="31">
    <mergeCell ref="A1:I2"/>
    <mergeCell ref="A3:I3"/>
    <mergeCell ref="A5:I5"/>
    <mergeCell ref="A8:A13"/>
    <mergeCell ref="A14:A17"/>
    <mergeCell ref="A18:A21"/>
    <mergeCell ref="A22:A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6:I36"/>
    <mergeCell ref="A37:I37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329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277</v>
      </c>
      <c r="F7" s="15" t="s">
        <v>278</v>
      </c>
      <c r="G7" s="15" t="s">
        <v>279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105</v>
      </c>
      <c r="C8" s="8" t="s">
        <v>225</v>
      </c>
      <c r="D8" s="17" t="s">
        <v>280</v>
      </c>
      <c r="E8" s="45" t="n">
        <v>21</v>
      </c>
      <c r="F8" s="45" t="n">
        <v>300000</v>
      </c>
      <c r="G8" s="33" t="n">
        <f aca="false">E8*F8</f>
        <v>6300000</v>
      </c>
      <c r="H8" s="4" t="s">
        <v>330</v>
      </c>
      <c r="I8" s="17" t="s">
        <v>71</v>
      </c>
    </row>
    <row r="9" customFormat="false" ht="19.5" hidden="false" customHeight="true" outlineLevel="0" collapsed="false">
      <c r="A9" s="17"/>
      <c r="B9" s="17" t="s">
        <v>110</v>
      </c>
      <c r="C9" s="8" t="s">
        <v>111</v>
      </c>
      <c r="D9" s="17" t="s">
        <v>280</v>
      </c>
      <c r="E9" s="45" t="n">
        <v>4</v>
      </c>
      <c r="F9" s="45" t="n">
        <v>260000</v>
      </c>
      <c r="G9" s="33" t="n">
        <f aca="false">E9*F9</f>
        <v>1040000</v>
      </c>
      <c r="H9" s="4" t="s">
        <v>331</v>
      </c>
      <c r="I9" s="17" t="s">
        <v>71</v>
      </c>
    </row>
    <row r="10" customFormat="false" ht="19.5" hidden="false" customHeight="true" outlineLevel="0" collapsed="false">
      <c r="A10" s="17"/>
      <c r="B10" s="17" t="s">
        <v>115</v>
      </c>
      <c r="C10" s="8" t="s">
        <v>228</v>
      </c>
      <c r="D10" s="17" t="s">
        <v>280</v>
      </c>
      <c r="E10" s="45" t="n">
        <v>3</v>
      </c>
      <c r="F10" s="45" t="n">
        <v>320000</v>
      </c>
      <c r="G10" s="33" t="n">
        <f aca="false">E10*F10</f>
        <v>960000</v>
      </c>
      <c r="H10" s="4" t="s">
        <v>283</v>
      </c>
      <c r="I10" s="17" t="s">
        <v>71</v>
      </c>
    </row>
    <row r="11" customFormat="false" ht="19.5" hidden="false" customHeight="true" outlineLevel="0" collapsed="false">
      <c r="A11" s="17" t="s">
        <v>284</v>
      </c>
      <c r="B11" s="17" t="s">
        <v>118</v>
      </c>
      <c r="C11" s="4" t="s">
        <v>229</v>
      </c>
      <c r="D11" s="17" t="s">
        <v>285</v>
      </c>
      <c r="E11" s="45" t="n">
        <v>1</v>
      </c>
      <c r="F11" s="45" t="n">
        <v>2400000</v>
      </c>
      <c r="G11" s="33" t="n">
        <f aca="false">E11*F11</f>
        <v>2400000</v>
      </c>
      <c r="H11" s="8" t="s">
        <v>332</v>
      </c>
      <c r="I11" s="17" t="s">
        <v>72</v>
      </c>
    </row>
    <row r="12" customFormat="false" ht="19.5" hidden="false" customHeight="true" outlineLevel="0" collapsed="false">
      <c r="A12" s="17"/>
      <c r="B12" s="17" t="s">
        <v>118</v>
      </c>
      <c r="C12" s="4" t="s">
        <v>230</v>
      </c>
      <c r="D12" s="17" t="s">
        <v>285</v>
      </c>
      <c r="E12" s="45" t="n">
        <v>1</v>
      </c>
      <c r="F12" s="45" t="n">
        <v>1700000</v>
      </c>
      <c r="G12" s="33" t="n">
        <f aca="false">E12*F12</f>
        <v>1700000</v>
      </c>
      <c r="H12" s="8" t="s">
        <v>332</v>
      </c>
      <c r="I12" s="17" t="s">
        <v>72</v>
      </c>
    </row>
    <row r="13" customFormat="false" ht="19.5" hidden="false" customHeight="true" outlineLevel="0" collapsed="false">
      <c r="A13" s="17"/>
      <c r="B13" s="17" t="s">
        <v>118</v>
      </c>
      <c r="C13" s="4" t="s">
        <v>231</v>
      </c>
      <c r="D13" s="17" t="s">
        <v>285</v>
      </c>
      <c r="E13" s="45" t="n">
        <v>1</v>
      </c>
      <c r="F13" s="45" t="n">
        <v>4150000</v>
      </c>
      <c r="G13" s="33" t="n">
        <f aca="false">E13*F13</f>
        <v>4150000</v>
      </c>
      <c r="H13" s="8" t="s">
        <v>333</v>
      </c>
      <c r="I13" s="17" t="s">
        <v>72</v>
      </c>
    </row>
    <row r="14" customFormat="false" ht="19.5" hidden="false" customHeight="true" outlineLevel="0" collapsed="false">
      <c r="A14" s="17"/>
      <c r="B14" s="16" t="s">
        <v>234</v>
      </c>
      <c r="C14" s="8" t="s">
        <v>235</v>
      </c>
      <c r="D14" s="17" t="s">
        <v>40</v>
      </c>
      <c r="E14" s="45" t="n">
        <v>1</v>
      </c>
      <c r="F14" s="45" t="n">
        <v>1200000</v>
      </c>
      <c r="G14" s="33" t="n">
        <f aca="false">E14*F14</f>
        <v>1200000</v>
      </c>
      <c r="H14" s="8" t="s">
        <v>334</v>
      </c>
      <c r="I14" s="17" t="s">
        <v>72</v>
      </c>
    </row>
    <row r="15" customFormat="false" ht="19.5" hidden="false" customHeight="true" outlineLevel="0" collapsed="false">
      <c r="A15" s="17"/>
      <c r="B15" s="17" t="s">
        <v>118</v>
      </c>
      <c r="C15" s="4" t="s">
        <v>236</v>
      </c>
      <c r="D15" s="17" t="s">
        <v>285</v>
      </c>
      <c r="E15" s="45" t="n">
        <v>1</v>
      </c>
      <c r="F15" s="45" t="n">
        <v>2400000</v>
      </c>
      <c r="G15" s="33" t="n">
        <f aca="false">E15*F15</f>
        <v>2400000</v>
      </c>
      <c r="H15" s="8" t="s">
        <v>335</v>
      </c>
      <c r="I15" s="17" t="s">
        <v>72</v>
      </c>
    </row>
    <row r="16" customFormat="false" ht="19.5" hidden="false" customHeight="true" outlineLevel="0" collapsed="false">
      <c r="A16" s="17"/>
      <c r="B16" s="17" t="s">
        <v>237</v>
      </c>
      <c r="C16" s="4" t="s">
        <v>238</v>
      </c>
      <c r="D16" s="17" t="s">
        <v>40</v>
      </c>
      <c r="E16" s="45" t="n">
        <v>1</v>
      </c>
      <c r="F16" s="45" t="n">
        <v>800000</v>
      </c>
      <c r="G16" s="33" t="n">
        <f aca="false">E16*F16</f>
        <v>800000</v>
      </c>
      <c r="H16" s="4"/>
      <c r="I16" s="17" t="s">
        <v>72</v>
      </c>
    </row>
    <row r="17" customFormat="false" ht="19.5" hidden="false" customHeight="true" outlineLevel="0" collapsed="false">
      <c r="A17" s="17"/>
      <c r="B17" s="17" t="s">
        <v>124</v>
      </c>
      <c r="C17" s="4" t="s">
        <v>125</v>
      </c>
      <c r="D17" s="17" t="s">
        <v>294</v>
      </c>
      <c r="E17" s="45" t="n">
        <v>2</v>
      </c>
      <c r="F17" s="45" t="n">
        <v>640000</v>
      </c>
      <c r="G17" s="33" t="n">
        <f aca="false">E17*F17</f>
        <v>1280000</v>
      </c>
      <c r="H17" s="8" t="s">
        <v>336</v>
      </c>
      <c r="I17" s="17" t="s">
        <v>72</v>
      </c>
    </row>
    <row r="18" customFormat="false" ht="19.5" hidden="false" customHeight="true" outlineLevel="0" collapsed="false">
      <c r="A18" s="17"/>
      <c r="B18" s="17" t="s">
        <v>130</v>
      </c>
      <c r="C18" s="8" t="s">
        <v>131</v>
      </c>
      <c r="D18" s="16" t="s">
        <v>288</v>
      </c>
      <c r="E18" s="45" t="n">
        <v>1</v>
      </c>
      <c r="F18" s="45" t="n">
        <v>3000000</v>
      </c>
      <c r="G18" s="33" t="n">
        <f aca="false">E18*F18</f>
        <v>3000000</v>
      </c>
      <c r="H18" s="4"/>
      <c r="I18" s="17" t="s">
        <v>72</v>
      </c>
    </row>
    <row r="19" customFormat="false" ht="19.5" hidden="false" customHeight="true" outlineLevel="0" collapsed="false">
      <c r="A19" s="17" t="s">
        <v>70</v>
      </c>
      <c r="B19" s="17" t="s">
        <v>240</v>
      </c>
      <c r="C19" s="8" t="s">
        <v>241</v>
      </c>
      <c r="D19" s="17" t="s">
        <v>40</v>
      </c>
      <c r="E19" s="45" t="n">
        <v>1</v>
      </c>
      <c r="F19" s="45" t="n">
        <v>900000</v>
      </c>
      <c r="G19" s="33" t="n">
        <f aca="false">E19*F19</f>
        <v>900000</v>
      </c>
      <c r="H19" s="8" t="s">
        <v>337</v>
      </c>
      <c r="I19" s="17" t="s">
        <v>70</v>
      </c>
    </row>
    <row r="20" customFormat="false" ht="19.5" hidden="false" customHeight="true" outlineLevel="0" collapsed="false">
      <c r="A20" s="17"/>
      <c r="B20" s="17" t="s">
        <v>134</v>
      </c>
      <c r="C20" s="8" t="s">
        <v>242</v>
      </c>
      <c r="D20" s="17" t="s">
        <v>40</v>
      </c>
      <c r="E20" s="45" t="n">
        <v>1</v>
      </c>
      <c r="F20" s="45" t="n">
        <v>1000000</v>
      </c>
      <c r="G20" s="33" t="n">
        <f aca="false">E20*F20</f>
        <v>1000000</v>
      </c>
      <c r="H20" s="4"/>
      <c r="I20" s="17" t="s">
        <v>70</v>
      </c>
    </row>
    <row r="21" customFormat="false" ht="19.5" hidden="false" customHeight="true" outlineLevel="0" collapsed="false">
      <c r="A21" s="17" t="s">
        <v>290</v>
      </c>
      <c r="B21" s="17" t="s">
        <v>136</v>
      </c>
      <c r="C21" s="8" t="s">
        <v>137</v>
      </c>
      <c r="D21" s="17" t="s">
        <v>291</v>
      </c>
      <c r="E21" s="45" t="n">
        <v>242</v>
      </c>
      <c r="F21" s="45" t="n">
        <v>3200</v>
      </c>
      <c r="G21" s="33" t="n">
        <f aca="false">E21*F21</f>
        <v>774400</v>
      </c>
      <c r="H21" s="4" t="s">
        <v>338</v>
      </c>
      <c r="I21" s="17" t="s">
        <v>72</v>
      </c>
    </row>
    <row r="22" customFormat="false" ht="19.5" hidden="false" customHeight="true" outlineLevel="0" collapsed="false">
      <c r="A22" s="17"/>
      <c r="B22" s="17" t="s">
        <v>139</v>
      </c>
      <c r="C22" s="8" t="s">
        <v>140</v>
      </c>
      <c r="D22" s="17" t="s">
        <v>280</v>
      </c>
      <c r="E22" s="45" t="n">
        <v>2</v>
      </c>
      <c r="F22" s="45" t="n">
        <v>200000</v>
      </c>
      <c r="G22" s="33" t="n">
        <f aca="false">E22*F22</f>
        <v>400000</v>
      </c>
      <c r="H22" s="4"/>
      <c r="I22" s="17" t="s">
        <v>71</v>
      </c>
    </row>
    <row r="23" customFormat="false" ht="19.5" hidden="false" customHeight="true" outlineLevel="0" collapsed="false">
      <c r="A23" s="17"/>
      <c r="B23" s="17" t="s">
        <v>143</v>
      </c>
      <c r="C23" s="4" t="s">
        <v>144</v>
      </c>
      <c r="D23" s="17" t="s">
        <v>294</v>
      </c>
      <c r="E23" s="45" t="n">
        <v>2</v>
      </c>
      <c r="F23" s="45" t="n">
        <v>260000</v>
      </c>
      <c r="G23" s="33" t="n">
        <f aca="false">E23*F23</f>
        <v>520000</v>
      </c>
      <c r="H23" s="4"/>
      <c r="I23" s="17" t="s">
        <v>72</v>
      </c>
    </row>
    <row r="24" customFormat="false" ht="19.5" hidden="false" customHeight="true" outlineLevel="0" collapsed="false">
      <c r="A24" s="17"/>
      <c r="B24" s="17" t="s">
        <v>146</v>
      </c>
      <c r="C24" s="8" t="s">
        <v>147</v>
      </c>
      <c r="D24" s="17" t="s">
        <v>40</v>
      </c>
      <c r="E24" s="45" t="n">
        <v>1</v>
      </c>
      <c r="F24" s="45" t="n">
        <v>380000</v>
      </c>
      <c r="G24" s="33" t="n">
        <f aca="false">E24*F24</f>
        <v>380000</v>
      </c>
      <c r="H24" s="4"/>
      <c r="I24" s="17" t="s">
        <v>70</v>
      </c>
    </row>
    <row r="25" customFormat="false" ht="19.5" hidden="false" customHeight="true" outlineLevel="0" collapsed="false">
      <c r="A25" s="17" t="s">
        <v>72</v>
      </c>
      <c r="B25" s="17" t="s">
        <v>148</v>
      </c>
      <c r="C25" s="8" t="s">
        <v>149</v>
      </c>
      <c r="D25" s="17" t="s">
        <v>280</v>
      </c>
      <c r="E25" s="45" t="n">
        <v>30</v>
      </c>
      <c r="F25" s="45" t="n">
        <v>20000</v>
      </c>
      <c r="G25" s="33" t="n">
        <f aca="false">E25*F25</f>
        <v>600000</v>
      </c>
      <c r="H25" s="8" t="s">
        <v>339</v>
      </c>
      <c r="I25" s="17" t="s">
        <v>72</v>
      </c>
    </row>
    <row r="26" customFormat="false" ht="19.5" hidden="false" customHeight="true" outlineLevel="0" collapsed="false">
      <c r="A26" s="17"/>
      <c r="B26" s="17" t="s">
        <v>151</v>
      </c>
      <c r="C26" s="8" t="s">
        <v>152</v>
      </c>
      <c r="D26" s="17" t="s">
        <v>285</v>
      </c>
      <c r="E26" s="45" t="n">
        <v>6</v>
      </c>
      <c r="F26" s="45" t="n">
        <v>85000</v>
      </c>
      <c r="G26" s="33" t="n">
        <f aca="false">E26*F26</f>
        <v>510000</v>
      </c>
      <c r="H26" s="4" t="s">
        <v>297</v>
      </c>
      <c r="I26" s="17" t="s">
        <v>72</v>
      </c>
    </row>
    <row r="27" customFormat="false" ht="19.5" hidden="false" customHeight="true" outlineLevel="0" collapsed="false">
      <c r="A27" s="46" t="s">
        <v>298</v>
      </c>
      <c r="B27" s="46"/>
      <c r="C27" s="46"/>
      <c r="D27" s="46"/>
      <c r="E27" s="46"/>
      <c r="F27" s="46"/>
      <c r="G27" s="47" t="n">
        <f aca="false">SUMIF($I$8:$I$26,"재료비",$G$8:$G$26)</f>
        <v>2280000</v>
      </c>
      <c r="H27" s="20"/>
      <c r="I27" s="20"/>
    </row>
    <row r="28" customFormat="false" ht="19.5" hidden="false" customHeight="true" outlineLevel="0" collapsed="false">
      <c r="A28" s="46" t="s">
        <v>299</v>
      </c>
      <c r="B28" s="46"/>
      <c r="C28" s="46"/>
      <c r="D28" s="46"/>
      <c r="E28" s="46"/>
      <c r="F28" s="46"/>
      <c r="G28" s="47" t="n">
        <f aca="false">SUMIF($I$8:$I$26,"노무비",$G$8:$G$26)</f>
        <v>8700000</v>
      </c>
      <c r="H28" s="20"/>
      <c r="I28" s="20"/>
    </row>
    <row r="29" customFormat="false" ht="19.5" hidden="false" customHeight="true" outlineLevel="0" collapsed="false">
      <c r="A29" s="46" t="s">
        <v>300</v>
      </c>
      <c r="B29" s="46"/>
      <c r="C29" s="46"/>
      <c r="D29" s="46"/>
      <c r="E29" s="46"/>
      <c r="F29" s="46"/>
      <c r="G29" s="47" t="n">
        <f aca="false">SUMIF($I$8:$I$26,"경비",$G$8:$G$26)</f>
        <v>19334400</v>
      </c>
      <c r="H29" s="20"/>
      <c r="I29" s="20"/>
    </row>
    <row r="30" customFormat="false" ht="19.5" hidden="false" customHeight="true" outlineLevel="0" collapsed="false">
      <c r="A30" s="46" t="s">
        <v>73</v>
      </c>
      <c r="B30" s="46"/>
      <c r="C30" s="46"/>
      <c r="D30" s="46"/>
      <c r="E30" s="46"/>
      <c r="F30" s="46"/>
      <c r="G30" s="47" t="n">
        <f aca="false">G28*요율근거!$C$5</f>
        <v>309720</v>
      </c>
      <c r="H30" s="43" t="s">
        <v>301</v>
      </c>
      <c r="I30" s="43"/>
    </row>
    <row r="31" customFormat="false" ht="19.5" hidden="false" customHeight="true" outlineLevel="0" collapsed="false">
      <c r="A31" s="46" t="s">
        <v>74</v>
      </c>
      <c r="B31" s="46"/>
      <c r="C31" s="46"/>
      <c r="D31" s="46"/>
      <c r="E31" s="46"/>
      <c r="F31" s="46"/>
      <c r="G31" s="47" t="n">
        <f aca="false">G28*요율근거!$C$6</f>
        <v>100050</v>
      </c>
      <c r="H31" s="43" t="s">
        <v>302</v>
      </c>
      <c r="I31" s="43"/>
    </row>
    <row r="32" customFormat="false" ht="19.5" hidden="false" customHeight="true" outlineLevel="0" collapsed="false">
      <c r="A32" s="46" t="s">
        <v>75</v>
      </c>
      <c r="B32" s="46"/>
      <c r="C32" s="46"/>
      <c r="D32" s="46"/>
      <c r="E32" s="46"/>
      <c r="F32" s="46"/>
      <c r="G32" s="47" t="n">
        <f aca="false">(G27+G28)*요율근거!$C$7</f>
        <v>341478</v>
      </c>
      <c r="H32" s="20" t="s">
        <v>303</v>
      </c>
      <c r="I32" s="20"/>
    </row>
    <row r="33" customFormat="false" ht="19.5" hidden="false" customHeight="true" outlineLevel="0" collapsed="false">
      <c r="A33" s="3" t="s">
        <v>76</v>
      </c>
      <c r="B33" s="3"/>
      <c r="C33" s="3"/>
      <c r="D33" s="3"/>
      <c r="E33" s="3"/>
      <c r="F33" s="3"/>
      <c r="G33" s="19" t="n">
        <f aca="false">SUM(G27:G32)</f>
        <v>31065648</v>
      </c>
      <c r="H33" s="20"/>
      <c r="I33" s="20"/>
    </row>
    <row r="34" customFormat="false" ht="19.5" hidden="false" customHeight="true" outlineLevel="0" collapsed="false">
      <c r="A34" s="46" t="s">
        <v>77</v>
      </c>
      <c r="B34" s="46"/>
      <c r="C34" s="46"/>
      <c r="D34" s="46"/>
      <c r="E34" s="46"/>
      <c r="F34" s="46"/>
      <c r="G34" s="47" t="n">
        <f aca="false">G33*요율근거!$C$8</f>
        <v>1553282.4</v>
      </c>
      <c r="H34" s="43" t="s">
        <v>304</v>
      </c>
      <c r="I34" s="43"/>
    </row>
    <row r="35" customFormat="false" ht="19.5" hidden="false" customHeight="true" outlineLevel="0" collapsed="false">
      <c r="A35" s="46" t="s">
        <v>78</v>
      </c>
      <c r="B35" s="46"/>
      <c r="C35" s="46"/>
      <c r="D35" s="46"/>
      <c r="E35" s="46"/>
      <c r="F35" s="46"/>
      <c r="G35" s="47" t="n">
        <f aca="false">(G28+G29+G30+G31+G32+G34)*요율근거!$C$12</f>
        <v>3640671.648</v>
      </c>
      <c r="H35" s="20" t="s">
        <v>305</v>
      </c>
      <c r="I35" s="20"/>
    </row>
    <row r="36" customFormat="false" ht="19.5" hidden="false" customHeight="true" outlineLevel="0" collapsed="false">
      <c r="A36" s="46" t="s">
        <v>79</v>
      </c>
      <c r="B36" s="46"/>
      <c r="C36" s="46"/>
      <c r="D36" s="46"/>
      <c r="E36" s="46"/>
      <c r="F36" s="46"/>
      <c r="G36" s="47" t="n">
        <f aca="false">-MOD(G33+G34+G35,1000)</f>
        <v>-602.048000000417</v>
      </c>
      <c r="H36" s="43" t="s">
        <v>306</v>
      </c>
      <c r="I36" s="43"/>
    </row>
    <row r="37" customFormat="false" ht="19.5" hidden="false" customHeight="true" outlineLevel="0" collapsed="false">
      <c r="A37" s="48" t="s">
        <v>156</v>
      </c>
      <c r="B37" s="48"/>
      <c r="C37" s="48"/>
      <c r="D37" s="48"/>
      <c r="E37" s="48"/>
      <c r="F37" s="48"/>
      <c r="G37" s="49" t="n">
        <f aca="false">G33+G34+G35+G36</f>
        <v>36259000</v>
      </c>
      <c r="H37" s="10" t="s">
        <v>307</v>
      </c>
      <c r="I37" s="10"/>
    </row>
    <row r="39" customFormat="false" ht="13.4" hidden="false" customHeight="false" outlineLevel="0" collapsed="false">
      <c r="A39" s="50" t="s">
        <v>308</v>
      </c>
      <c r="B39" s="50"/>
      <c r="C39" s="50"/>
      <c r="D39" s="50"/>
      <c r="E39" s="50"/>
      <c r="F39" s="50"/>
      <c r="G39" s="50"/>
      <c r="H39" s="50"/>
      <c r="I39" s="50"/>
    </row>
    <row r="40" customFormat="false" ht="13.4" hidden="false" customHeight="false" outlineLevel="0" collapsed="false">
      <c r="A40" s="51" t="s">
        <v>309</v>
      </c>
      <c r="B40" s="51"/>
      <c r="C40" s="51"/>
      <c r="D40" s="51"/>
      <c r="E40" s="51"/>
      <c r="F40" s="51"/>
      <c r="G40" s="51"/>
      <c r="H40" s="51"/>
      <c r="I40" s="51"/>
    </row>
  </sheetData>
  <mergeCells count="32">
    <mergeCell ref="A1:I2"/>
    <mergeCell ref="A3:I3"/>
    <mergeCell ref="A5:I5"/>
    <mergeCell ref="A8:A10"/>
    <mergeCell ref="A11:A18"/>
    <mergeCell ref="A19:A20"/>
    <mergeCell ref="A21:A24"/>
    <mergeCell ref="A25:A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6:F36"/>
    <mergeCell ref="H36:I36"/>
    <mergeCell ref="A37:F37"/>
    <mergeCell ref="H37:I37"/>
    <mergeCell ref="A39:I39"/>
    <mergeCell ref="A40:I4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340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277</v>
      </c>
      <c r="F7" s="15" t="s">
        <v>278</v>
      </c>
      <c r="G7" s="15" t="s">
        <v>279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71</v>
      </c>
      <c r="B8" s="17" t="s">
        <v>158</v>
      </c>
      <c r="C8" s="4" t="s">
        <v>159</v>
      </c>
      <c r="D8" s="17" t="s">
        <v>280</v>
      </c>
      <c r="E8" s="45" t="n">
        <v>9</v>
      </c>
      <c r="F8" s="45" t="n">
        <v>450000</v>
      </c>
      <c r="G8" s="33" t="n">
        <f aca="false">E8*F8</f>
        <v>4050000</v>
      </c>
      <c r="H8" s="4" t="s">
        <v>311</v>
      </c>
      <c r="I8" s="17" t="s">
        <v>71</v>
      </c>
    </row>
    <row r="9" customFormat="false" ht="19.5" hidden="false" customHeight="true" outlineLevel="0" collapsed="false">
      <c r="A9" s="17"/>
      <c r="B9" s="17" t="s">
        <v>163</v>
      </c>
      <c r="C9" s="8" t="s">
        <v>164</v>
      </c>
      <c r="D9" s="17" t="s">
        <v>280</v>
      </c>
      <c r="E9" s="45" t="n">
        <v>6</v>
      </c>
      <c r="F9" s="45" t="n">
        <v>330000</v>
      </c>
      <c r="G9" s="33" t="n">
        <f aca="false">E9*F9</f>
        <v>1980000</v>
      </c>
      <c r="H9" s="4" t="s">
        <v>312</v>
      </c>
      <c r="I9" s="17" t="s">
        <v>71</v>
      </c>
    </row>
    <row r="10" customFormat="false" ht="19.5" hidden="false" customHeight="true" outlineLevel="0" collapsed="false">
      <c r="A10" s="17"/>
      <c r="B10" s="17" t="s">
        <v>167</v>
      </c>
      <c r="C10" s="8" t="s">
        <v>168</v>
      </c>
      <c r="D10" s="17" t="s">
        <v>280</v>
      </c>
      <c r="E10" s="45" t="n">
        <v>4</v>
      </c>
      <c r="F10" s="45" t="n">
        <v>300000</v>
      </c>
      <c r="G10" s="33" t="n">
        <f aca="false">E10*F10</f>
        <v>1200000</v>
      </c>
      <c r="H10" s="4" t="s">
        <v>313</v>
      </c>
      <c r="I10" s="17" t="s">
        <v>71</v>
      </c>
    </row>
    <row r="11" customFormat="false" ht="19.5" hidden="false" customHeight="true" outlineLevel="0" collapsed="false">
      <c r="A11" s="17"/>
      <c r="B11" s="17" t="s">
        <v>140</v>
      </c>
      <c r="C11" s="8" t="s">
        <v>171</v>
      </c>
      <c r="D11" s="17" t="s">
        <v>280</v>
      </c>
      <c r="E11" s="45" t="n">
        <v>4</v>
      </c>
      <c r="F11" s="45" t="n">
        <v>200000</v>
      </c>
      <c r="G11" s="33" t="n">
        <f aca="false">E11*F11</f>
        <v>800000</v>
      </c>
      <c r="H11" s="4" t="s">
        <v>313</v>
      </c>
      <c r="I11" s="17" t="s">
        <v>71</v>
      </c>
    </row>
    <row r="12" customFormat="false" ht="19.5" hidden="false" customHeight="true" outlineLevel="0" collapsed="false">
      <c r="A12" s="17"/>
      <c r="B12" s="17" t="s">
        <v>173</v>
      </c>
      <c r="C12" s="8" t="s">
        <v>174</v>
      </c>
      <c r="D12" s="17" t="s">
        <v>280</v>
      </c>
      <c r="E12" s="45" t="n">
        <v>5</v>
      </c>
      <c r="F12" s="45" t="n">
        <v>250000</v>
      </c>
      <c r="G12" s="33" t="n">
        <f aca="false">E12*F12</f>
        <v>1250000</v>
      </c>
      <c r="H12" s="4" t="s">
        <v>314</v>
      </c>
      <c r="I12" s="17" t="s">
        <v>71</v>
      </c>
    </row>
    <row r="13" customFormat="false" ht="19.5" hidden="false" customHeight="true" outlineLevel="0" collapsed="false">
      <c r="A13" s="17" t="s">
        <v>284</v>
      </c>
      <c r="B13" s="16" t="s">
        <v>177</v>
      </c>
      <c r="C13" s="4" t="s">
        <v>178</v>
      </c>
      <c r="D13" s="17" t="s">
        <v>285</v>
      </c>
      <c r="E13" s="45" t="n">
        <v>9</v>
      </c>
      <c r="F13" s="45" t="n">
        <v>400000</v>
      </c>
      <c r="G13" s="33" t="n">
        <f aca="false">E13*F13</f>
        <v>3600000</v>
      </c>
      <c r="H13" s="4" t="s">
        <v>315</v>
      </c>
      <c r="I13" s="17" t="s">
        <v>72</v>
      </c>
    </row>
    <row r="14" customFormat="false" ht="19.5" hidden="false" customHeight="true" outlineLevel="0" collapsed="false">
      <c r="A14" s="17"/>
      <c r="B14" s="17" t="s">
        <v>180</v>
      </c>
      <c r="C14" s="8" t="s">
        <v>181</v>
      </c>
      <c r="D14" s="16" t="s">
        <v>288</v>
      </c>
      <c r="E14" s="45" t="n">
        <v>1</v>
      </c>
      <c r="F14" s="45" t="n">
        <v>800000</v>
      </c>
      <c r="G14" s="33" t="n">
        <f aca="false">E14*F14</f>
        <v>800000</v>
      </c>
      <c r="H14" s="4"/>
      <c r="I14" s="17" t="s">
        <v>72</v>
      </c>
    </row>
    <row r="15" customFormat="false" ht="19.5" hidden="false" customHeight="true" outlineLevel="0" collapsed="false">
      <c r="A15" s="17" t="s">
        <v>70</v>
      </c>
      <c r="B15" s="17" t="s">
        <v>182</v>
      </c>
      <c r="C15" s="4" t="s">
        <v>183</v>
      </c>
      <c r="D15" s="17" t="s">
        <v>40</v>
      </c>
      <c r="E15" s="45" t="n">
        <v>1</v>
      </c>
      <c r="F15" s="45" t="n">
        <v>3680000</v>
      </c>
      <c r="G15" s="33" t="n">
        <f aca="false">E15*F15</f>
        <v>3680000</v>
      </c>
      <c r="H15" s="8" t="s">
        <v>316</v>
      </c>
      <c r="I15" s="17" t="s">
        <v>70</v>
      </c>
    </row>
    <row r="16" customFormat="false" ht="19.5" hidden="false" customHeight="true" outlineLevel="0" collapsed="false">
      <c r="A16" s="17" t="s">
        <v>284</v>
      </c>
      <c r="B16" s="17" t="s">
        <v>186</v>
      </c>
      <c r="C16" s="8" t="s">
        <v>187</v>
      </c>
      <c r="D16" s="17" t="s">
        <v>40</v>
      </c>
      <c r="E16" s="45" t="n">
        <v>1</v>
      </c>
      <c r="F16" s="45" t="n">
        <v>1000000</v>
      </c>
      <c r="G16" s="33" t="n">
        <f aca="false">E16*F16</f>
        <v>1000000</v>
      </c>
      <c r="H16" s="8" t="s">
        <v>317</v>
      </c>
      <c r="I16" s="17" t="s">
        <v>72</v>
      </c>
    </row>
    <row r="17" customFormat="false" ht="19.5" hidden="false" customHeight="true" outlineLevel="0" collapsed="false">
      <c r="A17" s="17" t="s">
        <v>72</v>
      </c>
      <c r="B17" s="17" t="s">
        <v>148</v>
      </c>
      <c r="C17" s="8" t="s">
        <v>149</v>
      </c>
      <c r="D17" s="17" t="s">
        <v>280</v>
      </c>
      <c r="E17" s="45" t="n">
        <v>28</v>
      </c>
      <c r="F17" s="45" t="n">
        <v>20000</v>
      </c>
      <c r="G17" s="33" t="n">
        <f aca="false">E17*F17</f>
        <v>560000</v>
      </c>
      <c r="H17" s="8" t="s">
        <v>318</v>
      </c>
      <c r="I17" s="17" t="s">
        <v>72</v>
      </c>
    </row>
    <row r="18" customFormat="false" ht="19.5" hidden="false" customHeight="true" outlineLevel="0" collapsed="false">
      <c r="A18" s="17"/>
      <c r="B18" s="17" t="s">
        <v>151</v>
      </c>
      <c r="C18" s="8" t="s">
        <v>152</v>
      </c>
      <c r="D18" s="17" t="s">
        <v>285</v>
      </c>
      <c r="E18" s="45" t="n">
        <v>10</v>
      </c>
      <c r="F18" s="45" t="n">
        <v>85000</v>
      </c>
      <c r="G18" s="33" t="n">
        <f aca="false">E18*F18</f>
        <v>850000</v>
      </c>
      <c r="H18" s="4" t="s">
        <v>319</v>
      </c>
      <c r="I18" s="17" t="s">
        <v>72</v>
      </c>
    </row>
    <row r="19" customFormat="false" ht="19.5" hidden="false" customHeight="true" outlineLevel="0" collapsed="false">
      <c r="A19" s="46" t="s">
        <v>298</v>
      </c>
      <c r="B19" s="46"/>
      <c r="C19" s="46"/>
      <c r="D19" s="46"/>
      <c r="E19" s="46"/>
      <c r="F19" s="46"/>
      <c r="G19" s="47" t="n">
        <f aca="false">SUMIF($I$8:$I$18,"재료비",$G$8:$G$18)</f>
        <v>3680000</v>
      </c>
      <c r="H19" s="20"/>
      <c r="I19" s="20"/>
    </row>
    <row r="20" customFormat="false" ht="19.5" hidden="false" customHeight="true" outlineLevel="0" collapsed="false">
      <c r="A20" s="46" t="s">
        <v>299</v>
      </c>
      <c r="B20" s="46"/>
      <c r="C20" s="46"/>
      <c r="D20" s="46"/>
      <c r="E20" s="46"/>
      <c r="F20" s="46"/>
      <c r="G20" s="47" t="n">
        <f aca="false">SUMIF($I$8:$I$18,"노무비",$G$8:$G$18)</f>
        <v>9280000</v>
      </c>
      <c r="H20" s="20"/>
      <c r="I20" s="20"/>
    </row>
    <row r="21" customFormat="false" ht="19.5" hidden="false" customHeight="true" outlineLevel="0" collapsed="false">
      <c r="A21" s="46" t="s">
        <v>300</v>
      </c>
      <c r="B21" s="46"/>
      <c r="C21" s="46"/>
      <c r="D21" s="46"/>
      <c r="E21" s="46"/>
      <c r="F21" s="46"/>
      <c r="G21" s="47" t="n">
        <f aca="false">SUMIF($I$8:$I$18,"경비",$G$8:$G$18)</f>
        <v>6810000</v>
      </c>
      <c r="H21" s="20"/>
      <c r="I21" s="20"/>
    </row>
    <row r="22" customFormat="false" ht="19.5" hidden="false" customHeight="true" outlineLevel="0" collapsed="false">
      <c r="A22" s="46" t="s">
        <v>73</v>
      </c>
      <c r="B22" s="46"/>
      <c r="C22" s="46"/>
      <c r="D22" s="46"/>
      <c r="E22" s="46"/>
      <c r="F22" s="46"/>
      <c r="G22" s="47" t="n">
        <f aca="false">G20*요율근거!$C$5</f>
        <v>330368</v>
      </c>
      <c r="H22" s="43" t="s">
        <v>301</v>
      </c>
      <c r="I22" s="43"/>
    </row>
    <row r="23" customFormat="false" ht="19.5" hidden="false" customHeight="true" outlineLevel="0" collapsed="false">
      <c r="A23" s="46" t="s">
        <v>74</v>
      </c>
      <c r="B23" s="46"/>
      <c r="C23" s="46"/>
      <c r="D23" s="46"/>
      <c r="E23" s="46"/>
      <c r="F23" s="46"/>
      <c r="G23" s="47" t="n">
        <f aca="false">G20*요율근거!$C$6</f>
        <v>106720</v>
      </c>
      <c r="H23" s="43" t="s">
        <v>302</v>
      </c>
      <c r="I23" s="43"/>
    </row>
    <row r="24" customFormat="false" ht="19.5" hidden="false" customHeight="true" outlineLevel="0" collapsed="false">
      <c r="A24" s="46" t="s">
        <v>75</v>
      </c>
      <c r="B24" s="46"/>
      <c r="C24" s="46"/>
      <c r="D24" s="46"/>
      <c r="E24" s="46"/>
      <c r="F24" s="46"/>
      <c r="G24" s="47" t="n">
        <f aca="false">(G19+G20)*요율근거!$C$7</f>
        <v>403056</v>
      </c>
      <c r="H24" s="20" t="s">
        <v>303</v>
      </c>
      <c r="I24" s="20"/>
    </row>
    <row r="25" customFormat="false" ht="19.5" hidden="false" customHeight="true" outlineLevel="0" collapsed="false">
      <c r="A25" s="3" t="s">
        <v>76</v>
      </c>
      <c r="B25" s="3"/>
      <c r="C25" s="3"/>
      <c r="D25" s="3"/>
      <c r="E25" s="3"/>
      <c r="F25" s="3"/>
      <c r="G25" s="19" t="n">
        <f aca="false">SUM(G19:G24)</f>
        <v>20610144</v>
      </c>
      <c r="H25" s="20"/>
      <c r="I25" s="20"/>
    </row>
    <row r="26" customFormat="false" ht="19.5" hidden="false" customHeight="true" outlineLevel="0" collapsed="false">
      <c r="A26" s="46" t="s">
        <v>77</v>
      </c>
      <c r="B26" s="46"/>
      <c r="C26" s="46"/>
      <c r="D26" s="46"/>
      <c r="E26" s="46"/>
      <c r="F26" s="46"/>
      <c r="G26" s="47" t="n">
        <f aca="false">G25*요율근거!$C$8</f>
        <v>1030507.2</v>
      </c>
      <c r="H26" s="43" t="s">
        <v>304</v>
      </c>
      <c r="I26" s="43"/>
    </row>
    <row r="27" customFormat="false" ht="19.5" hidden="false" customHeight="true" outlineLevel="0" collapsed="false">
      <c r="A27" s="46" t="s">
        <v>78</v>
      </c>
      <c r="B27" s="46"/>
      <c r="C27" s="46"/>
      <c r="D27" s="46"/>
      <c r="E27" s="46"/>
      <c r="F27" s="46"/>
      <c r="G27" s="47" t="n">
        <f aca="false">(G20+G21+G22+G23+G24+G26)*요율근거!$C$13</f>
        <v>2155278.144</v>
      </c>
      <c r="H27" s="20" t="s">
        <v>305</v>
      </c>
      <c r="I27" s="20"/>
    </row>
    <row r="28" customFormat="false" ht="19.5" hidden="false" customHeight="true" outlineLevel="0" collapsed="false">
      <c r="A28" s="46" t="s">
        <v>79</v>
      </c>
      <c r="B28" s="46"/>
      <c r="C28" s="46"/>
      <c r="D28" s="46"/>
      <c r="E28" s="46"/>
      <c r="F28" s="46"/>
      <c r="G28" s="47" t="n">
        <f aca="false">-MOD(G25+G26+G27,1000)</f>
        <v>-929.344000000507</v>
      </c>
      <c r="H28" s="43" t="s">
        <v>306</v>
      </c>
      <c r="I28" s="43"/>
    </row>
    <row r="29" customFormat="false" ht="19.5" hidden="false" customHeight="true" outlineLevel="0" collapsed="false">
      <c r="A29" s="48" t="s">
        <v>156</v>
      </c>
      <c r="B29" s="48"/>
      <c r="C29" s="48"/>
      <c r="D29" s="48"/>
      <c r="E29" s="48"/>
      <c r="F29" s="48"/>
      <c r="G29" s="49" t="n">
        <f aca="false">G25+G26+G27+G28</f>
        <v>23795000</v>
      </c>
      <c r="H29" s="10" t="s">
        <v>307</v>
      </c>
      <c r="I29" s="10"/>
    </row>
    <row r="31" customFormat="false" ht="13.4" hidden="false" customHeight="false" outlineLevel="0" collapsed="false">
      <c r="A31" s="50" t="s">
        <v>308</v>
      </c>
      <c r="B31" s="50"/>
      <c r="C31" s="50"/>
      <c r="D31" s="50"/>
      <c r="E31" s="50"/>
      <c r="F31" s="50"/>
      <c r="G31" s="50"/>
      <c r="H31" s="50"/>
      <c r="I31" s="50"/>
    </row>
    <row r="32" customFormat="false" ht="13.4" hidden="false" customHeight="false" outlineLevel="0" collapsed="false">
      <c r="A32" s="51" t="s">
        <v>309</v>
      </c>
      <c r="B32" s="51"/>
      <c r="C32" s="51"/>
      <c r="D32" s="51"/>
      <c r="E32" s="51"/>
      <c r="F32" s="51"/>
      <c r="G32" s="51"/>
      <c r="H32" s="51"/>
      <c r="I32" s="51"/>
    </row>
  </sheetData>
  <mergeCells count="30">
    <mergeCell ref="A1:I2"/>
    <mergeCell ref="A3:I3"/>
    <mergeCell ref="A5:I5"/>
    <mergeCell ref="A8:A12"/>
    <mergeCell ref="A13:A14"/>
    <mergeCell ref="A17:A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274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275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4" t="s">
        <v>341</v>
      </c>
      <c r="B5" s="44"/>
      <c r="C5" s="44"/>
      <c r="D5" s="44"/>
      <c r="E5" s="44"/>
      <c r="F5" s="44"/>
      <c r="G5" s="44"/>
      <c r="H5" s="44"/>
      <c r="I5" s="44"/>
    </row>
    <row r="7" customFormat="false" ht="15" hidden="false" customHeight="false" outlineLevel="0" collapsed="false">
      <c r="A7" s="15" t="s">
        <v>84</v>
      </c>
      <c r="B7" s="15" t="s">
        <v>99</v>
      </c>
      <c r="C7" s="15" t="s">
        <v>100</v>
      </c>
      <c r="D7" s="15" t="s">
        <v>34</v>
      </c>
      <c r="E7" s="15" t="s">
        <v>277</v>
      </c>
      <c r="F7" s="15" t="s">
        <v>278</v>
      </c>
      <c r="G7" s="15" t="s">
        <v>279</v>
      </c>
      <c r="H7" s="15" t="s">
        <v>36</v>
      </c>
      <c r="I7" s="15" t="s">
        <v>64</v>
      </c>
    </row>
    <row r="8" customFormat="false" ht="19.5" hidden="false" customHeight="true" outlineLevel="0" collapsed="false">
      <c r="A8" s="17" t="s">
        <v>70</v>
      </c>
      <c r="B8" s="17" t="s">
        <v>248</v>
      </c>
      <c r="C8" s="4" t="s">
        <v>249</v>
      </c>
      <c r="D8" s="16" t="s">
        <v>321</v>
      </c>
      <c r="E8" s="45" t="n">
        <v>1996</v>
      </c>
      <c r="F8" s="45" t="n">
        <v>700</v>
      </c>
      <c r="G8" s="33" t="n">
        <f aca="false">E8*F8</f>
        <v>1397200</v>
      </c>
      <c r="H8" s="4" t="s">
        <v>342</v>
      </c>
      <c r="I8" s="17" t="s">
        <v>70</v>
      </c>
    </row>
    <row r="9" customFormat="false" ht="19.5" hidden="false" customHeight="true" outlineLevel="0" collapsed="false">
      <c r="A9" s="17"/>
      <c r="B9" s="17" t="s">
        <v>251</v>
      </c>
      <c r="C9" s="8" t="s">
        <v>252</v>
      </c>
      <c r="D9" s="17" t="s">
        <v>294</v>
      </c>
      <c r="E9" s="45" t="n">
        <v>2</v>
      </c>
      <c r="F9" s="45" t="n">
        <v>160000</v>
      </c>
      <c r="G9" s="33" t="n">
        <f aca="false">E9*F9</f>
        <v>320000</v>
      </c>
      <c r="H9" s="4"/>
      <c r="I9" s="17" t="s">
        <v>70</v>
      </c>
    </row>
    <row r="10" customFormat="false" ht="19.5" hidden="false" customHeight="true" outlineLevel="0" collapsed="false">
      <c r="A10" s="17"/>
      <c r="B10" s="17" t="s">
        <v>182</v>
      </c>
      <c r="C10" s="8" t="s">
        <v>198</v>
      </c>
      <c r="D10" s="17" t="s">
        <v>40</v>
      </c>
      <c r="E10" s="45" t="n">
        <v>1</v>
      </c>
      <c r="F10" s="45" t="n">
        <v>600000</v>
      </c>
      <c r="G10" s="33" t="n">
        <f aca="false">E10*F10</f>
        <v>600000</v>
      </c>
      <c r="H10" s="4"/>
      <c r="I10" s="17" t="s">
        <v>70</v>
      </c>
    </row>
    <row r="11" customFormat="false" ht="19.5" hidden="false" customHeight="true" outlineLevel="0" collapsed="false">
      <c r="A11" s="17"/>
      <c r="B11" s="17" t="s">
        <v>201</v>
      </c>
      <c r="C11" s="8" t="s">
        <v>202</v>
      </c>
      <c r="D11" s="17" t="s">
        <v>40</v>
      </c>
      <c r="E11" s="45" t="n">
        <v>1</v>
      </c>
      <c r="F11" s="45" t="n">
        <v>300000</v>
      </c>
      <c r="G11" s="33" t="n">
        <f aca="false">E11*F11</f>
        <v>300000</v>
      </c>
      <c r="H11" s="4"/>
      <c r="I11" s="17" t="s">
        <v>70</v>
      </c>
    </row>
    <row r="12" customFormat="false" ht="19.5" hidden="false" customHeight="true" outlineLevel="0" collapsed="false">
      <c r="A12" s="17"/>
      <c r="B12" s="17" t="s">
        <v>255</v>
      </c>
      <c r="C12" s="8" t="s">
        <v>256</v>
      </c>
      <c r="D12" s="17" t="s">
        <v>40</v>
      </c>
      <c r="E12" s="45" t="n">
        <v>1</v>
      </c>
      <c r="F12" s="45" t="n">
        <v>500000</v>
      </c>
      <c r="G12" s="33" t="n">
        <f aca="false">E12*F12</f>
        <v>500000</v>
      </c>
      <c r="H12" s="8" t="s">
        <v>343</v>
      </c>
      <c r="I12" s="17" t="s">
        <v>70</v>
      </c>
    </row>
    <row r="13" customFormat="false" ht="19.5" hidden="false" customHeight="true" outlineLevel="0" collapsed="false">
      <c r="A13" s="17" t="s">
        <v>71</v>
      </c>
      <c r="B13" s="17" t="s">
        <v>203</v>
      </c>
      <c r="C13" s="8" t="s">
        <v>257</v>
      </c>
      <c r="D13" s="17" t="s">
        <v>280</v>
      </c>
      <c r="E13" s="45" t="n">
        <v>4</v>
      </c>
      <c r="F13" s="45" t="n">
        <v>330000</v>
      </c>
      <c r="G13" s="33" t="n">
        <f aca="false">E13*F13</f>
        <v>1320000</v>
      </c>
      <c r="H13" s="4" t="s">
        <v>313</v>
      </c>
      <c r="I13" s="17" t="s">
        <v>71</v>
      </c>
    </row>
    <row r="14" customFormat="false" ht="19.5" hidden="false" customHeight="true" outlineLevel="0" collapsed="false">
      <c r="A14" s="17"/>
      <c r="B14" s="17" t="s">
        <v>158</v>
      </c>
      <c r="C14" s="8" t="s">
        <v>259</v>
      </c>
      <c r="D14" s="17" t="s">
        <v>280</v>
      </c>
      <c r="E14" s="45" t="n">
        <v>2</v>
      </c>
      <c r="F14" s="45" t="n">
        <v>450000</v>
      </c>
      <c r="G14" s="33" t="n">
        <f aca="false">E14*F14</f>
        <v>900000</v>
      </c>
      <c r="H14" s="4" t="s">
        <v>344</v>
      </c>
      <c r="I14" s="17" t="s">
        <v>71</v>
      </c>
    </row>
    <row r="15" customFormat="false" ht="19.5" hidden="false" customHeight="true" outlineLevel="0" collapsed="false">
      <c r="A15" s="17"/>
      <c r="B15" s="17" t="s">
        <v>140</v>
      </c>
      <c r="C15" s="8" t="s">
        <v>261</v>
      </c>
      <c r="D15" s="17" t="s">
        <v>280</v>
      </c>
      <c r="E15" s="45" t="n">
        <v>2</v>
      </c>
      <c r="F15" s="45" t="n">
        <v>200000</v>
      </c>
      <c r="G15" s="33" t="n">
        <f aca="false">E15*F15</f>
        <v>400000</v>
      </c>
      <c r="H15" s="4" t="s">
        <v>344</v>
      </c>
      <c r="I15" s="17" t="s">
        <v>71</v>
      </c>
    </row>
    <row r="16" customFormat="false" ht="19.5" hidden="false" customHeight="true" outlineLevel="0" collapsed="false">
      <c r="A16" s="17"/>
      <c r="B16" s="17" t="s">
        <v>173</v>
      </c>
      <c r="C16" s="8" t="s">
        <v>263</v>
      </c>
      <c r="D16" s="17" t="s">
        <v>280</v>
      </c>
      <c r="E16" s="45" t="n">
        <v>2</v>
      </c>
      <c r="F16" s="45" t="n">
        <v>250000</v>
      </c>
      <c r="G16" s="33" t="n">
        <f aca="false">E16*F16</f>
        <v>500000</v>
      </c>
      <c r="H16" s="4" t="s">
        <v>344</v>
      </c>
      <c r="I16" s="17" t="s">
        <v>71</v>
      </c>
    </row>
    <row r="17" customFormat="false" ht="19.5" hidden="false" customHeight="true" outlineLevel="0" collapsed="false">
      <c r="A17" s="17"/>
      <c r="B17" s="17" t="s">
        <v>265</v>
      </c>
      <c r="C17" s="8" t="s">
        <v>266</v>
      </c>
      <c r="D17" s="17" t="s">
        <v>280</v>
      </c>
      <c r="E17" s="45" t="n">
        <v>4</v>
      </c>
      <c r="F17" s="45" t="n">
        <v>350000</v>
      </c>
      <c r="G17" s="33" t="n">
        <f aca="false">E17*F17</f>
        <v>1400000</v>
      </c>
      <c r="H17" s="4" t="s">
        <v>345</v>
      </c>
      <c r="I17" s="17" t="s">
        <v>71</v>
      </c>
    </row>
    <row r="18" customFormat="false" ht="19.5" hidden="false" customHeight="true" outlineLevel="0" collapsed="false">
      <c r="A18" s="17" t="s">
        <v>284</v>
      </c>
      <c r="B18" s="17" t="s">
        <v>212</v>
      </c>
      <c r="C18" s="8" t="s">
        <v>270</v>
      </c>
      <c r="D18" s="17" t="s">
        <v>326</v>
      </c>
      <c r="E18" s="45" t="n">
        <v>2</v>
      </c>
      <c r="F18" s="45" t="n">
        <v>300000</v>
      </c>
      <c r="G18" s="33" t="n">
        <f aca="false">E18*F18</f>
        <v>600000</v>
      </c>
      <c r="H18" s="4"/>
      <c r="I18" s="17" t="s">
        <v>72</v>
      </c>
    </row>
    <row r="19" customFormat="false" ht="19.5" hidden="false" customHeight="true" outlineLevel="0" collapsed="false">
      <c r="A19" s="17"/>
      <c r="B19" s="16" t="s">
        <v>177</v>
      </c>
      <c r="C19" s="4" t="s">
        <v>178</v>
      </c>
      <c r="D19" s="17" t="s">
        <v>285</v>
      </c>
      <c r="E19" s="45" t="n">
        <v>2</v>
      </c>
      <c r="F19" s="45" t="n">
        <v>400000</v>
      </c>
      <c r="G19" s="33" t="n">
        <f aca="false">E19*F19</f>
        <v>800000</v>
      </c>
      <c r="H19" s="4" t="s">
        <v>346</v>
      </c>
      <c r="I19" s="17" t="s">
        <v>72</v>
      </c>
    </row>
    <row r="20" customFormat="false" ht="19.5" hidden="false" customHeight="true" outlineLevel="0" collapsed="false">
      <c r="A20" s="17"/>
      <c r="B20" s="17" t="s">
        <v>219</v>
      </c>
      <c r="C20" s="8" t="s">
        <v>220</v>
      </c>
      <c r="D20" s="17" t="s">
        <v>40</v>
      </c>
      <c r="E20" s="45" t="n">
        <v>1</v>
      </c>
      <c r="F20" s="45" t="n">
        <v>300000</v>
      </c>
      <c r="G20" s="33" t="n">
        <f aca="false">E20*F20</f>
        <v>300000</v>
      </c>
      <c r="H20" s="4"/>
      <c r="I20" s="17" t="s">
        <v>72</v>
      </c>
    </row>
    <row r="21" customFormat="false" ht="19.5" hidden="false" customHeight="true" outlineLevel="0" collapsed="false">
      <c r="A21" s="17" t="s">
        <v>72</v>
      </c>
      <c r="B21" s="17" t="s">
        <v>148</v>
      </c>
      <c r="C21" s="8" t="s">
        <v>149</v>
      </c>
      <c r="D21" s="17" t="s">
        <v>280</v>
      </c>
      <c r="E21" s="45" t="n">
        <v>14</v>
      </c>
      <c r="F21" s="45" t="n">
        <v>20000</v>
      </c>
      <c r="G21" s="33" t="n">
        <f aca="false">E21*F21</f>
        <v>280000</v>
      </c>
      <c r="H21" s="8" t="s">
        <v>347</v>
      </c>
      <c r="I21" s="17" t="s">
        <v>72</v>
      </c>
    </row>
    <row r="22" customFormat="false" ht="19.5" hidden="false" customHeight="true" outlineLevel="0" collapsed="false">
      <c r="A22" s="17"/>
      <c r="B22" s="17" t="s">
        <v>151</v>
      </c>
      <c r="C22" s="8" t="s">
        <v>152</v>
      </c>
      <c r="D22" s="17" t="s">
        <v>285</v>
      </c>
      <c r="E22" s="45" t="n">
        <v>3</v>
      </c>
      <c r="F22" s="45" t="n">
        <v>85000</v>
      </c>
      <c r="G22" s="33" t="n">
        <f aca="false">E22*F22</f>
        <v>255000</v>
      </c>
      <c r="H22" s="4" t="s">
        <v>327</v>
      </c>
      <c r="I22" s="17" t="s">
        <v>72</v>
      </c>
    </row>
    <row r="23" customFormat="false" ht="19.5" hidden="false" customHeight="true" outlineLevel="0" collapsed="false">
      <c r="A23" s="46" t="s">
        <v>298</v>
      </c>
      <c r="B23" s="46"/>
      <c r="C23" s="46"/>
      <c r="D23" s="46"/>
      <c r="E23" s="46"/>
      <c r="F23" s="46"/>
      <c r="G23" s="47" t="n">
        <f aca="false">SUMIF($I$8:$I$22,"재료비",$G$8:$G$22)</f>
        <v>3117200</v>
      </c>
      <c r="H23" s="20"/>
      <c r="I23" s="20"/>
    </row>
    <row r="24" customFormat="false" ht="19.5" hidden="false" customHeight="true" outlineLevel="0" collapsed="false">
      <c r="A24" s="46" t="s">
        <v>299</v>
      </c>
      <c r="B24" s="46"/>
      <c r="C24" s="46"/>
      <c r="D24" s="46"/>
      <c r="E24" s="46"/>
      <c r="F24" s="46"/>
      <c r="G24" s="47" t="n">
        <f aca="false">SUMIF($I$8:$I$22,"노무비",$G$8:$G$22)</f>
        <v>4520000</v>
      </c>
      <c r="H24" s="20"/>
      <c r="I24" s="20"/>
    </row>
    <row r="25" customFormat="false" ht="19.5" hidden="false" customHeight="true" outlineLevel="0" collapsed="false">
      <c r="A25" s="46" t="s">
        <v>300</v>
      </c>
      <c r="B25" s="46"/>
      <c r="C25" s="46"/>
      <c r="D25" s="46"/>
      <c r="E25" s="46"/>
      <c r="F25" s="46"/>
      <c r="G25" s="47" t="n">
        <f aca="false">SUMIF($I$8:$I$22,"경비",$G$8:$G$22)</f>
        <v>2235000</v>
      </c>
      <c r="H25" s="20"/>
      <c r="I25" s="20"/>
    </row>
    <row r="26" customFormat="false" ht="19.5" hidden="false" customHeight="true" outlineLevel="0" collapsed="false">
      <c r="A26" s="46" t="s">
        <v>73</v>
      </c>
      <c r="B26" s="46"/>
      <c r="C26" s="46"/>
      <c r="D26" s="46"/>
      <c r="E26" s="46"/>
      <c r="F26" s="46"/>
      <c r="G26" s="47" t="n">
        <f aca="false">G24*요율근거!$C$5</f>
        <v>160912</v>
      </c>
      <c r="H26" s="43" t="s">
        <v>301</v>
      </c>
      <c r="I26" s="43"/>
    </row>
    <row r="27" customFormat="false" ht="19.5" hidden="false" customHeight="true" outlineLevel="0" collapsed="false">
      <c r="A27" s="46" t="s">
        <v>74</v>
      </c>
      <c r="B27" s="46"/>
      <c r="C27" s="46"/>
      <c r="D27" s="46"/>
      <c r="E27" s="46"/>
      <c r="F27" s="46"/>
      <c r="G27" s="47" t="n">
        <f aca="false">G24*요율근거!$C$6</f>
        <v>51980</v>
      </c>
      <c r="H27" s="43" t="s">
        <v>302</v>
      </c>
      <c r="I27" s="43"/>
    </row>
    <row r="28" customFormat="false" ht="19.5" hidden="false" customHeight="true" outlineLevel="0" collapsed="false">
      <c r="A28" s="46" t="s">
        <v>75</v>
      </c>
      <c r="B28" s="46"/>
      <c r="C28" s="46"/>
      <c r="D28" s="46"/>
      <c r="E28" s="46"/>
      <c r="F28" s="46"/>
      <c r="G28" s="47" t="n">
        <f aca="false">(G23+G24)*요율근거!$C$7</f>
        <v>237516.92</v>
      </c>
      <c r="H28" s="20" t="s">
        <v>303</v>
      </c>
      <c r="I28" s="20"/>
    </row>
    <row r="29" customFormat="false" ht="19.5" hidden="false" customHeight="true" outlineLevel="0" collapsed="false">
      <c r="A29" s="3" t="s">
        <v>76</v>
      </c>
      <c r="B29" s="3"/>
      <c r="C29" s="3"/>
      <c r="D29" s="3"/>
      <c r="E29" s="3"/>
      <c r="F29" s="3"/>
      <c r="G29" s="19" t="n">
        <f aca="false">SUM(G23:G28)</f>
        <v>10322608.92</v>
      </c>
      <c r="H29" s="20"/>
      <c r="I29" s="20"/>
    </row>
    <row r="30" customFormat="false" ht="19.5" hidden="false" customHeight="true" outlineLevel="0" collapsed="false">
      <c r="A30" s="46" t="s">
        <v>77</v>
      </c>
      <c r="B30" s="46"/>
      <c r="C30" s="46"/>
      <c r="D30" s="46"/>
      <c r="E30" s="46"/>
      <c r="F30" s="46"/>
      <c r="G30" s="47" t="n">
        <f aca="false">G29*요율근거!$C$8</f>
        <v>516130.446</v>
      </c>
      <c r="H30" s="43" t="s">
        <v>304</v>
      </c>
      <c r="I30" s="43"/>
    </row>
    <row r="31" customFormat="false" ht="19.5" hidden="false" customHeight="true" outlineLevel="0" collapsed="false">
      <c r="A31" s="46" t="s">
        <v>78</v>
      </c>
      <c r="B31" s="46"/>
      <c r="C31" s="46"/>
      <c r="D31" s="46"/>
      <c r="E31" s="46"/>
      <c r="F31" s="46"/>
      <c r="G31" s="47" t="n">
        <f aca="false">(G24+G25+G26+G27+G28+G30)*요율근거!$C$14</f>
        <v>926584.72392</v>
      </c>
      <c r="H31" s="20" t="s">
        <v>305</v>
      </c>
      <c r="I31" s="20"/>
    </row>
    <row r="32" customFormat="false" ht="19.5" hidden="false" customHeight="true" outlineLevel="0" collapsed="false">
      <c r="A32" s="46" t="s">
        <v>79</v>
      </c>
      <c r="B32" s="46"/>
      <c r="C32" s="46"/>
      <c r="D32" s="46"/>
      <c r="E32" s="46"/>
      <c r="F32" s="46"/>
      <c r="G32" s="47" t="n">
        <f aca="false">-MOD(G29+G30+G31,1000)</f>
        <v>-324.089920001105</v>
      </c>
      <c r="H32" s="43" t="s">
        <v>306</v>
      </c>
      <c r="I32" s="43"/>
    </row>
    <row r="33" customFormat="false" ht="19.5" hidden="false" customHeight="true" outlineLevel="0" collapsed="false">
      <c r="A33" s="48" t="s">
        <v>156</v>
      </c>
      <c r="B33" s="48"/>
      <c r="C33" s="48"/>
      <c r="D33" s="48"/>
      <c r="E33" s="48"/>
      <c r="F33" s="48"/>
      <c r="G33" s="49" t="n">
        <f aca="false">G29+G30+G31+G32</f>
        <v>11765000</v>
      </c>
      <c r="H33" s="10" t="s">
        <v>307</v>
      </c>
      <c r="I33" s="10"/>
    </row>
    <row r="35" customFormat="false" ht="13.4" hidden="false" customHeight="false" outlineLevel="0" collapsed="false">
      <c r="A35" s="50" t="s">
        <v>308</v>
      </c>
      <c r="B35" s="50"/>
      <c r="C35" s="50"/>
      <c r="D35" s="50"/>
      <c r="E35" s="50"/>
      <c r="F35" s="50"/>
      <c r="G35" s="50"/>
      <c r="H35" s="50"/>
      <c r="I35" s="50"/>
    </row>
    <row r="36" customFormat="false" ht="13.4" hidden="false" customHeight="false" outlineLevel="0" collapsed="false">
      <c r="A36" s="51" t="s">
        <v>309</v>
      </c>
      <c r="B36" s="51"/>
      <c r="C36" s="51"/>
      <c r="D36" s="51"/>
      <c r="E36" s="51"/>
      <c r="F36" s="51"/>
      <c r="G36" s="51"/>
      <c r="H36" s="51"/>
      <c r="I36" s="51"/>
    </row>
  </sheetData>
  <mergeCells count="31">
    <mergeCell ref="A1:I2"/>
    <mergeCell ref="A3:I3"/>
    <mergeCell ref="A5:I5"/>
    <mergeCell ref="A8:A12"/>
    <mergeCell ref="A13:A17"/>
    <mergeCell ref="A18:A20"/>
    <mergeCell ref="A21:A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2" t="s">
        <v>348</v>
      </c>
    </row>
    <row r="3" customFormat="false" ht="15" hidden="false" customHeight="false" outlineLevel="0" collapsed="false">
      <c r="A3" s="15" t="s">
        <v>349</v>
      </c>
      <c r="B3" s="15" t="s">
        <v>350</v>
      </c>
      <c r="C3" s="15" t="s">
        <v>351</v>
      </c>
      <c r="D3" s="15" t="s">
        <v>352</v>
      </c>
      <c r="E3" s="15" t="s">
        <v>353</v>
      </c>
    </row>
    <row r="4" customFormat="false" ht="15" hidden="false" customHeight="false" outlineLevel="0" collapsed="false">
      <c r="A4" s="53" t="n">
        <v>10</v>
      </c>
      <c r="B4" s="53" t="n">
        <v>4</v>
      </c>
      <c r="C4" s="54" t="n">
        <f aca="false">A4*B4</f>
        <v>40</v>
      </c>
      <c r="D4" s="53" t="n">
        <v>72.4</v>
      </c>
      <c r="E4" s="55" t="n">
        <f aca="false">C4*D4</f>
        <v>2896</v>
      </c>
    </row>
    <row r="5" customFormat="false" ht="15" hidden="false" customHeight="false" outlineLevel="0" collapsed="false">
      <c r="A5" s="53" t="n">
        <v>5</v>
      </c>
      <c r="B5" s="53" t="n">
        <v>16</v>
      </c>
      <c r="C5" s="54" t="n">
        <f aca="false">A5*B5</f>
        <v>80</v>
      </c>
      <c r="D5" s="53" t="n">
        <v>72.4</v>
      </c>
      <c r="E5" s="55" t="n">
        <f aca="false">C5*D5</f>
        <v>5792</v>
      </c>
    </row>
    <row r="6" customFormat="false" ht="15" hidden="false" customHeight="false" outlineLevel="0" collapsed="false">
      <c r="A6" s="53" t="n">
        <v>0.6</v>
      </c>
      <c r="B6" s="53" t="n">
        <v>30</v>
      </c>
      <c r="C6" s="54" t="n">
        <f aca="false">A6*B6</f>
        <v>18</v>
      </c>
      <c r="D6" s="53" t="n">
        <v>72.4</v>
      </c>
      <c r="E6" s="55" t="n">
        <f aca="false">C6*D6</f>
        <v>1303.2</v>
      </c>
    </row>
    <row r="7" customFormat="false" ht="15" hidden="false" customHeight="false" outlineLevel="0" collapsed="false">
      <c r="A7" s="56"/>
      <c r="B7" s="57" t="s">
        <v>68</v>
      </c>
      <c r="C7" s="56" t="n">
        <f aca="false">SUM(C4:C6)</f>
        <v>138</v>
      </c>
      <c r="D7" s="56"/>
      <c r="E7" s="58" t="n">
        <f aca="false">SUM(E4:E6)</f>
        <v>9991.2</v>
      </c>
    </row>
    <row r="9" customFormat="false" ht="15" hidden="false" customHeight="false" outlineLevel="0" collapsed="false">
      <c r="A9" s="15" t="s">
        <v>84</v>
      </c>
      <c r="B9" s="15" t="s">
        <v>102</v>
      </c>
      <c r="C9" s="14" t="s">
        <v>354</v>
      </c>
      <c r="D9" s="15" t="s">
        <v>36</v>
      </c>
    </row>
    <row r="10" customFormat="false" ht="15" hidden="false" customHeight="false" outlineLevel="0" collapsed="false">
      <c r="A10" s="59" t="s">
        <v>355</v>
      </c>
      <c r="B10" s="60" t="n">
        <v>13575440</v>
      </c>
      <c r="C10" s="55" t="n">
        <f aca="false">B10/$E$7</f>
        <v>1358.73969092802</v>
      </c>
      <c r="D10" s="59" t="s">
        <v>356</v>
      </c>
    </row>
    <row r="11" customFormat="false" ht="15" hidden="false" customHeight="false" outlineLevel="0" collapsed="false">
      <c r="A11" s="59" t="s">
        <v>357</v>
      </c>
      <c r="B11" s="60" t="n">
        <v>9577783</v>
      </c>
      <c r="C11" s="55" t="n">
        <f aca="false">B11/$E$7</f>
        <v>958.621887260789</v>
      </c>
      <c r="D11" s="59" t="s">
        <v>356</v>
      </c>
    </row>
    <row r="12" customFormat="false" ht="15" hidden="false" customHeight="false" outlineLevel="0" collapsed="false">
      <c r="A12" s="59" t="s">
        <v>358</v>
      </c>
      <c r="B12" s="60" t="n">
        <v>4000000</v>
      </c>
      <c r="C12" s="55" t="n">
        <f aca="false">B12/$E$7</f>
        <v>400.352310032829</v>
      </c>
      <c r="D12" s="59" t="s">
        <v>359</v>
      </c>
    </row>
    <row r="13" customFormat="false" ht="15" hidden="false" customHeight="false" outlineLevel="0" collapsed="false">
      <c r="A13" s="59" t="s">
        <v>360</v>
      </c>
      <c r="B13" s="61" t="n">
        <f aca="false">E7*700</f>
        <v>6993840</v>
      </c>
      <c r="C13" s="55" t="n">
        <f aca="false">B13/$E$7</f>
        <v>700</v>
      </c>
      <c r="D13" s="54" t="s">
        <v>361</v>
      </c>
    </row>
    <row r="14" customFormat="false" ht="15" hidden="false" customHeight="false" outlineLevel="0" collapsed="false">
      <c r="A14" s="59" t="s">
        <v>362</v>
      </c>
      <c r="B14" s="61" t="n">
        <f aca="false">B13-(B11-B12)</f>
        <v>1416057</v>
      </c>
      <c r="C14" s="55" t="n">
        <f aca="false">B14/$E$7</f>
        <v>141.730422772039</v>
      </c>
      <c r="D14" s="59" t="s">
        <v>363</v>
      </c>
    </row>
    <row r="16" customFormat="false" ht="15" hidden="false" customHeight="false" outlineLevel="0" collapsed="false">
      <c r="A16" s="39" t="s">
        <v>364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8" t="s">
        <v>365</v>
      </c>
    </row>
    <row r="3" customFormat="false" ht="15" hidden="false" customHeight="false" outlineLevel="0" collapsed="false">
      <c r="A3" s="57" t="s">
        <v>366</v>
      </c>
      <c r="B3" s="57" t="s">
        <v>367</v>
      </c>
      <c r="C3" s="62" t="s">
        <v>368</v>
      </c>
      <c r="D3" s="62" t="s">
        <v>369</v>
      </c>
      <c r="E3" s="62" t="s">
        <v>370</v>
      </c>
      <c r="F3" s="62" t="s">
        <v>371</v>
      </c>
      <c r="G3" s="62" t="s">
        <v>372</v>
      </c>
      <c r="H3" s="62" t="s">
        <v>373</v>
      </c>
      <c r="I3" s="62" t="s">
        <v>374</v>
      </c>
      <c r="J3" s="62" t="s">
        <v>375</v>
      </c>
      <c r="K3" s="62" t="s">
        <v>376</v>
      </c>
      <c r="L3" s="62" t="s">
        <v>377</v>
      </c>
      <c r="M3" s="62" t="s">
        <v>378</v>
      </c>
    </row>
    <row r="4" customFormat="false" ht="15" hidden="false" customHeight="false" outlineLevel="0" collapsed="false">
      <c r="A4" s="63" t="s">
        <v>379</v>
      </c>
      <c r="B4" s="63" t="s">
        <v>380</v>
      </c>
      <c r="C4" s="64"/>
      <c r="D4" s="59"/>
      <c r="E4" s="59"/>
      <c r="F4" s="59"/>
      <c r="G4" s="59"/>
      <c r="H4" s="59"/>
      <c r="I4" s="59"/>
      <c r="J4" s="59"/>
      <c r="K4" s="59"/>
      <c r="L4" s="59"/>
      <c r="M4" s="59"/>
    </row>
    <row r="5" customFormat="false" ht="15" hidden="false" customHeight="false" outlineLevel="0" collapsed="false">
      <c r="A5" s="63" t="s">
        <v>381</v>
      </c>
      <c r="B5" s="63" t="s">
        <v>382</v>
      </c>
      <c r="C5" s="64"/>
      <c r="D5" s="64"/>
      <c r="E5" s="64"/>
      <c r="F5" s="59"/>
      <c r="G5" s="59"/>
      <c r="H5" s="59"/>
      <c r="I5" s="59"/>
      <c r="J5" s="59"/>
      <c r="K5" s="59"/>
      <c r="L5" s="59"/>
      <c r="M5" s="59"/>
    </row>
    <row r="6" customFormat="false" ht="15" hidden="false" customHeight="false" outlineLevel="0" collapsed="false">
      <c r="A6" s="63" t="s">
        <v>383</v>
      </c>
      <c r="B6" s="63" t="s">
        <v>384</v>
      </c>
      <c r="C6" s="59"/>
      <c r="D6" s="59"/>
      <c r="E6" s="59"/>
      <c r="F6" s="64"/>
      <c r="G6" s="59"/>
      <c r="H6" s="59"/>
      <c r="I6" s="59"/>
      <c r="J6" s="59"/>
      <c r="K6" s="59"/>
      <c r="L6" s="59"/>
      <c r="M6" s="59"/>
    </row>
    <row r="7" customFormat="false" ht="15" hidden="false" customHeight="false" outlineLevel="0" collapsed="false">
      <c r="A7" s="63" t="s">
        <v>385</v>
      </c>
      <c r="B7" s="63" t="s">
        <v>386</v>
      </c>
      <c r="C7" s="59"/>
      <c r="D7" s="59"/>
      <c r="E7" s="59"/>
      <c r="F7" s="59"/>
      <c r="G7" s="64"/>
      <c r="H7" s="64"/>
      <c r="I7" s="59"/>
      <c r="J7" s="59"/>
      <c r="K7" s="59"/>
      <c r="L7" s="59"/>
      <c r="M7" s="59"/>
    </row>
    <row r="8" customFormat="false" ht="15" hidden="false" customHeight="false" outlineLevel="0" collapsed="false">
      <c r="A8" s="63" t="s">
        <v>387</v>
      </c>
      <c r="B8" s="63" t="s">
        <v>388</v>
      </c>
      <c r="C8" s="59"/>
      <c r="D8" s="59"/>
      <c r="E8" s="59"/>
      <c r="F8" s="59"/>
      <c r="G8" s="59"/>
      <c r="H8" s="59"/>
      <c r="I8" s="64"/>
      <c r="J8" s="64"/>
      <c r="K8" s="59"/>
      <c r="L8" s="59"/>
      <c r="M8" s="59"/>
    </row>
    <row r="9" customFormat="false" ht="15" hidden="false" customHeight="false" outlineLevel="0" collapsed="false">
      <c r="A9" s="63" t="s">
        <v>389</v>
      </c>
      <c r="B9" s="63" t="s">
        <v>390</v>
      </c>
      <c r="C9" s="59"/>
      <c r="D9" s="59"/>
      <c r="E9" s="59"/>
      <c r="F9" s="59"/>
      <c r="G9" s="59"/>
      <c r="H9" s="59"/>
      <c r="I9" s="59"/>
      <c r="J9" s="59"/>
      <c r="K9" s="64"/>
      <c r="L9" s="64"/>
      <c r="M9" s="64"/>
    </row>
    <row r="10" customFormat="false" ht="15" hidden="false" customHeight="false" outlineLevel="0" collapsed="false">
      <c r="A10" s="63" t="s">
        <v>391</v>
      </c>
      <c r="B10" s="63" t="s">
        <v>380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64"/>
    </row>
    <row r="12" customFormat="false" ht="15" hidden="false" customHeight="false" outlineLevel="0" collapsed="false">
      <c r="A12" s="39" t="s">
        <v>392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8" t="s">
        <v>393</v>
      </c>
    </row>
    <row r="2" customFormat="false" ht="15" hidden="false" customHeight="false" outlineLevel="0" collapsed="false">
      <c r="A2" s="39" t="s">
        <v>394</v>
      </c>
    </row>
    <row r="4" customFormat="false" ht="15" hidden="false" customHeight="false" outlineLevel="0" collapsed="false">
      <c r="A4" s="15" t="s">
        <v>395</v>
      </c>
      <c r="B4" s="15" t="s">
        <v>396</v>
      </c>
      <c r="C4" s="15" t="s">
        <v>397</v>
      </c>
      <c r="D4" s="15" t="s">
        <v>398</v>
      </c>
    </row>
    <row r="5" customFormat="false" ht="30" hidden="false" customHeight="true" outlineLevel="0" collapsed="false">
      <c r="A5" s="8" t="s">
        <v>73</v>
      </c>
      <c r="B5" s="8" t="s">
        <v>399</v>
      </c>
      <c r="C5" s="65" t="n">
        <v>0.0356</v>
      </c>
      <c r="D5" s="8" t="s">
        <v>400</v>
      </c>
    </row>
    <row r="6" customFormat="false" ht="30" hidden="false" customHeight="true" outlineLevel="0" collapsed="false">
      <c r="A6" s="8" t="s">
        <v>74</v>
      </c>
      <c r="B6" s="8" t="s">
        <v>399</v>
      </c>
      <c r="C6" s="65" t="n">
        <v>0.0115</v>
      </c>
      <c r="D6" s="8" t="s">
        <v>401</v>
      </c>
    </row>
    <row r="7" customFormat="false" ht="30" hidden="false" customHeight="true" outlineLevel="0" collapsed="false">
      <c r="A7" s="8" t="s">
        <v>75</v>
      </c>
      <c r="B7" s="4" t="s">
        <v>402</v>
      </c>
      <c r="C7" s="65" t="n">
        <v>0.0311</v>
      </c>
      <c r="D7" s="8" t="s">
        <v>403</v>
      </c>
    </row>
    <row r="8" customFormat="false" ht="30" hidden="false" customHeight="true" outlineLevel="0" collapsed="false">
      <c r="A8" s="8" t="s">
        <v>77</v>
      </c>
      <c r="B8" s="8" t="s">
        <v>404</v>
      </c>
      <c r="C8" s="65" t="n">
        <v>0.05</v>
      </c>
      <c r="D8" s="8" t="s">
        <v>405</v>
      </c>
    </row>
    <row r="9" customFormat="false" ht="30" hidden="false" customHeight="true" outlineLevel="0" collapsed="false">
      <c r="A9" s="8" t="s">
        <v>406</v>
      </c>
      <c r="B9" s="4" t="s">
        <v>407</v>
      </c>
      <c r="C9" s="66" t="n">
        <v>0.12</v>
      </c>
      <c r="D9" s="8" t="s">
        <v>408</v>
      </c>
    </row>
    <row r="10" customFormat="false" ht="30" hidden="false" customHeight="true" outlineLevel="0" collapsed="false">
      <c r="A10" s="8" t="s">
        <v>409</v>
      </c>
      <c r="B10" s="4" t="s">
        <v>407</v>
      </c>
      <c r="C10" s="66" t="n">
        <v>0.12</v>
      </c>
      <c r="D10" s="8" t="s">
        <v>408</v>
      </c>
    </row>
    <row r="11" customFormat="false" ht="30" hidden="false" customHeight="true" outlineLevel="0" collapsed="false">
      <c r="A11" s="8" t="s">
        <v>410</v>
      </c>
      <c r="B11" s="4" t="s">
        <v>407</v>
      </c>
      <c r="C11" s="66" t="n">
        <v>0.12</v>
      </c>
      <c r="D11" s="8" t="s">
        <v>408</v>
      </c>
    </row>
    <row r="12" customFormat="false" ht="30" hidden="false" customHeight="true" outlineLevel="0" collapsed="false">
      <c r="A12" s="8" t="s">
        <v>411</v>
      </c>
      <c r="B12" s="4" t="s">
        <v>407</v>
      </c>
      <c r="C12" s="66" t="n">
        <v>0.12</v>
      </c>
      <c r="D12" s="8" t="s">
        <v>408</v>
      </c>
    </row>
    <row r="13" customFormat="false" ht="30" hidden="false" customHeight="true" outlineLevel="0" collapsed="false">
      <c r="A13" s="8" t="s">
        <v>412</v>
      </c>
      <c r="B13" s="4" t="s">
        <v>407</v>
      </c>
      <c r="C13" s="66" t="n">
        <v>0.12</v>
      </c>
      <c r="D13" s="8" t="s">
        <v>408</v>
      </c>
    </row>
    <row r="14" customFormat="false" ht="30" hidden="false" customHeight="true" outlineLevel="0" collapsed="false">
      <c r="A14" s="8" t="s">
        <v>413</v>
      </c>
      <c r="B14" s="4" t="s">
        <v>407</v>
      </c>
      <c r="C14" s="66" t="n">
        <v>0.12</v>
      </c>
      <c r="D14" s="8" t="s">
        <v>408</v>
      </c>
    </row>
    <row r="15" customFormat="false" ht="30" hidden="false" customHeight="true" outlineLevel="0" collapsed="false">
      <c r="A15" s="8" t="s">
        <v>414</v>
      </c>
      <c r="B15" s="8" t="s">
        <v>415</v>
      </c>
      <c r="C15" s="16" t="s">
        <v>416</v>
      </c>
      <c r="D15" s="4" t="s">
        <v>417</v>
      </c>
    </row>
    <row r="17" customFormat="false" ht="15" hidden="false" customHeight="false" outlineLevel="0" collapsed="false">
      <c r="A17" s="67" t="s">
        <v>418</v>
      </c>
    </row>
    <row r="18" customFormat="false" ht="15" hidden="false" customHeight="false" outlineLevel="0" collapsed="false">
      <c r="A18" s="15" t="s">
        <v>419</v>
      </c>
      <c r="B18" s="15" t="s">
        <v>420</v>
      </c>
      <c r="C18" s="15" t="s">
        <v>421</v>
      </c>
      <c r="D18" s="15" t="s">
        <v>422</v>
      </c>
      <c r="E18" s="15" t="s">
        <v>423</v>
      </c>
    </row>
    <row r="19" customFormat="false" ht="15" hidden="false" customHeight="false" outlineLevel="0" collapsed="false">
      <c r="A19" s="8" t="s">
        <v>158</v>
      </c>
      <c r="B19" s="8" t="s">
        <v>424</v>
      </c>
      <c r="C19" s="45" t="n">
        <v>292640</v>
      </c>
      <c r="D19" s="45" t="n">
        <v>450000</v>
      </c>
      <c r="E19" s="68" t="n">
        <f aca="false">D19/C19</f>
        <v>1.53772553307818</v>
      </c>
    </row>
    <row r="20" customFormat="false" ht="15" hidden="false" customHeight="false" outlineLevel="0" collapsed="false">
      <c r="A20" s="8" t="s">
        <v>425</v>
      </c>
      <c r="B20" s="8" t="s">
        <v>426</v>
      </c>
      <c r="C20" s="45" t="n">
        <v>266029</v>
      </c>
      <c r="D20" s="45" t="n">
        <v>330000</v>
      </c>
      <c r="E20" s="68" t="n">
        <f aca="false">D20/C20</f>
        <v>1.24046626495608</v>
      </c>
    </row>
    <row r="21" customFormat="false" ht="15" hidden="false" customHeight="false" outlineLevel="0" collapsed="false">
      <c r="A21" s="8" t="s">
        <v>167</v>
      </c>
      <c r="B21" s="8" t="s">
        <v>427</v>
      </c>
      <c r="C21" s="45" t="n">
        <v>226122</v>
      </c>
      <c r="D21" s="45" t="n">
        <v>300000</v>
      </c>
      <c r="E21" s="68" t="n">
        <f aca="false">D21/C21</f>
        <v>1.32671743572054</v>
      </c>
    </row>
    <row r="22" customFormat="false" ht="15" hidden="false" customHeight="false" outlineLevel="0" collapsed="false">
      <c r="A22" s="8" t="s">
        <v>140</v>
      </c>
      <c r="B22" s="8" t="s">
        <v>428</v>
      </c>
      <c r="C22" s="45" t="n">
        <v>172068</v>
      </c>
      <c r="D22" s="45" t="n">
        <v>200000</v>
      </c>
      <c r="E22" s="68" t="n">
        <f aca="false">D22/C22</f>
        <v>1.16233117139735</v>
      </c>
    </row>
    <row r="23" customFormat="false" ht="15" hidden="false" customHeight="false" outlineLevel="0" collapsed="false">
      <c r="A23" s="8" t="s">
        <v>173</v>
      </c>
      <c r="B23" s="8" t="s">
        <v>427</v>
      </c>
      <c r="C23" s="45" t="n">
        <v>226122</v>
      </c>
      <c r="D23" s="45" t="n">
        <v>250000</v>
      </c>
      <c r="E23" s="68" t="n">
        <f aca="false">D23/C23</f>
        <v>1.10559786310045</v>
      </c>
    </row>
    <row r="24" customFormat="false" ht="15" hidden="false" customHeight="false" outlineLevel="0" collapsed="false">
      <c r="A24" s="8" t="s">
        <v>110</v>
      </c>
      <c r="B24" s="8" t="s">
        <v>427</v>
      </c>
      <c r="C24" s="45" t="n">
        <v>226122</v>
      </c>
      <c r="D24" s="45" t="n">
        <v>260000</v>
      </c>
      <c r="E24" s="68" t="n">
        <f aca="false">D24/C24</f>
        <v>1.14982177762447</v>
      </c>
    </row>
    <row r="25" customFormat="false" ht="15" hidden="false" customHeight="false" outlineLevel="0" collapsed="false">
      <c r="A25" s="8" t="s">
        <v>105</v>
      </c>
      <c r="B25" s="8" t="s">
        <v>429</v>
      </c>
      <c r="C25" s="45" t="n">
        <v>281939</v>
      </c>
      <c r="D25" s="45" t="n">
        <v>300000</v>
      </c>
      <c r="E25" s="68" t="n">
        <f aca="false">D25/C25</f>
        <v>1.06405995623167</v>
      </c>
    </row>
    <row r="26" customFormat="false" ht="30" hidden="false" customHeight="true" outlineLevel="0" collapsed="false">
      <c r="A26" s="34" t="s">
        <v>430</v>
      </c>
      <c r="B26" s="34"/>
      <c r="C26" s="34"/>
      <c r="D26" s="34"/>
      <c r="E26" s="34"/>
    </row>
    <row r="28" customFormat="false" ht="15" hidden="false" customHeight="false" outlineLevel="0" collapsed="false">
      <c r="A28" s="67" t="s">
        <v>431</v>
      </c>
    </row>
    <row r="29" customFormat="false" ht="15" hidden="false" customHeight="false" outlineLevel="0" collapsed="false">
      <c r="A29" s="69" t="s">
        <v>432</v>
      </c>
      <c r="B29" s="70" t="s">
        <v>433</v>
      </c>
      <c r="C29" s="70"/>
      <c r="D29" s="70"/>
      <c r="E29" s="70"/>
    </row>
    <row r="30" customFormat="false" ht="15" hidden="false" customHeight="false" outlineLevel="0" collapsed="false">
      <c r="A30" s="69" t="s">
        <v>434</v>
      </c>
      <c r="B30" s="70" t="s">
        <v>435</v>
      </c>
      <c r="C30" s="70"/>
      <c r="D30" s="70"/>
      <c r="E30" s="70"/>
    </row>
    <row r="31" customFormat="false" ht="14.15" hidden="false" customHeight="false" outlineLevel="0" collapsed="false">
      <c r="A31" s="69" t="s">
        <v>436</v>
      </c>
      <c r="B31" s="70" t="s">
        <v>437</v>
      </c>
      <c r="C31" s="70"/>
      <c r="D31" s="70"/>
      <c r="E31" s="70"/>
    </row>
    <row r="32" customFormat="false" ht="15" hidden="false" customHeight="false" outlineLevel="0" collapsed="false">
      <c r="A32" s="69" t="s">
        <v>75</v>
      </c>
      <c r="B32" s="70" t="s">
        <v>438</v>
      </c>
      <c r="C32" s="70"/>
      <c r="D32" s="70"/>
      <c r="E32" s="70"/>
    </row>
    <row r="33" customFormat="false" ht="15" hidden="false" customHeight="false" outlineLevel="0" collapsed="false">
      <c r="A33" s="69" t="s">
        <v>439</v>
      </c>
      <c r="B33" s="70" t="s">
        <v>440</v>
      </c>
      <c r="C33" s="70"/>
      <c r="D33" s="70"/>
      <c r="E33" s="70"/>
    </row>
    <row r="34" customFormat="false" ht="14.15" hidden="false" customHeight="false" outlineLevel="0" collapsed="false">
      <c r="A34" s="71" t="s">
        <v>441</v>
      </c>
      <c r="B34" s="70" t="s">
        <v>442</v>
      </c>
      <c r="C34" s="70"/>
      <c r="D34" s="70"/>
      <c r="E34" s="70"/>
    </row>
    <row r="35" customFormat="false" ht="15" hidden="false" customHeight="false" outlineLevel="0" collapsed="false">
      <c r="A35" s="69" t="s">
        <v>443</v>
      </c>
      <c r="B35" s="72" t="s">
        <v>444</v>
      </c>
      <c r="C35" s="72"/>
      <c r="D35" s="72"/>
      <c r="E35" s="72"/>
    </row>
    <row r="37" customFormat="false" ht="15" hidden="false" customHeight="false" outlineLevel="0" collapsed="false">
      <c r="A37" s="39" t="s">
        <v>445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2026-10-12T15:15:31Z</dcterms:created>
  <dc:creator>openpyxl</dc:creator>
  <dc:description/>
  <dc:language>en-US</dc:language>
  <cp:lastModifiedBy/>
  <dcterms:modified xsi:type="dcterms:W3CDTF">2026-10-12T15:15:31Z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