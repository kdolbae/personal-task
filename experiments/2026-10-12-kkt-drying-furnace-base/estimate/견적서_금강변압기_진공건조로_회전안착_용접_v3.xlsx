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  <sheet name="요율근거" sheetId="13" state="visible" r:id="rId15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0" name="_xlnm.Print_Titles" vbProcedure="false">견적서!$16:$16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<sst xmlns="http://schemas.openxmlformats.org/spreadsheetml/2006/main" count="1335" uniqueCount="423">
  <si>
    <t xml:space="preserve">N M   S O L U T I O N</t>
  </si>
  <si>
    <t xml:space="preserve">견적일자</t>
  </si>
  <si>
    <t xml:space="preserve">2026-10-13</t>
  </si>
  <si>
    <t xml:space="preserve">견  적  서</t>
  </si>
  <si>
    <t xml:space="preserve">견적번호</t>
  </si>
  <si>
    <t xml:space="preserve">NM-2610-01</t>
  </si>
  <si>
    <t xml:space="preserve">수신</t>
  </si>
  <si>
    <t xml:space="preserve">공급자</t>
  </si>
  <si>
    <t xml:space="preserve">업체명</t>
  </si>
  <si>
    <t xml:space="preserve">금강변압기 유한회사 (KUMKANG TRANSFORMER)</t>
  </si>
  <si>
    <t xml:space="preserve">상호</t>
  </si>
  <si>
    <t xml:space="preserve">엔엠솔루션 (NM SOLUTION)</t>
  </si>
  <si>
    <t xml:space="preserve">담당자</t>
  </si>
  <si>
    <t xml:space="preserve">대표</t>
  </si>
  <si>
    <t xml:space="preserve">김성배</t>
  </si>
  <si>
    <t xml:space="preserve">연락처</t>
  </si>
  <si>
    <t xml:space="preserve">주소</t>
  </si>
  <si>
    <t xml:space="preserve">경기도 평택시 고덕동 도시지원로 121 지식공장아이타워 906호</t>
  </si>
  <si>
    <t xml:space="preserve">현장 주소</t>
  </si>
  <si>
    <t xml:space="preserve">경기 화성시 마도면 마도공단로1길 214 (사내 마당)</t>
  </si>
  <si>
    <t xml:space="preserve">전화</t>
  </si>
  <si>
    <t xml:space="preserve">대표 1800-5901  /  직통 010-2369-3691</t>
  </si>
  <si>
    <t xml:space="preserve">공사명</t>
  </si>
  <si>
    <t xml:space="preserve">진공건조로 2분할체 회전·안착, 임시 베이스 제작, 접합부 사상·용접 공사</t>
  </si>
  <si>
    <t xml:space="preserve">홈페이지</t>
  </si>
  <si>
    <t xml:space="preserve">nm-solution.co.kr</t>
  </si>
  <si>
    <t xml:space="preserve">사업자등록번호</t>
  </si>
  <si>
    <t xml:space="preserve">견적금액  일금 칠천일백육십구만이천원정  (₩ 71,692,000, VAT 별도)</t>
  </si>
  <si>
    <t xml:space="preserve">견적 내역</t>
  </si>
  <si>
    <t xml:space="preserve">번호</t>
  </si>
  <si>
    <t xml:space="preserve">품명</t>
  </si>
  <si>
    <t xml:space="preserve">규격</t>
  </si>
  <si>
    <t xml:space="preserve">수량</t>
  </si>
  <si>
    <t xml:space="preserve">단위</t>
  </si>
  <si>
    <t xml:space="preserve">단가</t>
  </si>
  <si>
    <t xml:space="preserve">금액</t>
  </si>
  <si>
    <t xml:space="preserve">비고</t>
  </si>
  <si>
    <t xml:space="preserve">도비 작업: 회전·베이스 안착(100t·60t), 밀착 이동, 안전펜스</t>
  </si>
  <si>
    <t xml:space="preserve">도비 전문기공</t>
  </si>
  <si>
    <t xml:space="preserve">회전·안착·밀착 이동</t>
  </si>
  <si>
    <t xml:space="preserve">안착일 6명 + 밀착 이동 6명·3명 (6, 6, 3)</t>
  </si>
  <si>
    <t xml:space="preserve">신호수</t>
  </si>
  <si>
    <t xml:space="preserve">크레인 인양 신호</t>
  </si>
  <si>
    <t xml:space="preserve">2명 × 1일 (안착일)</t>
  </si>
  <si>
    <t xml:space="preserve">안전담당 (관리감독자)</t>
  </si>
  <si>
    <t xml:space="preserve">작업 전 TBM·인양구역 통제</t>
  </si>
  <si>
    <t xml:space="preserve">1명 × 3일</t>
  </si>
  <si>
    <t xml:space="preserve">크레인</t>
  </si>
  <si>
    <t xml:space="preserve">100TON</t>
  </si>
  <si>
    <t xml:space="preserve">안착일 1일</t>
  </si>
  <si>
    <t xml:space="preserve">60TON</t>
  </si>
  <si>
    <t xml:space="preserve">아웃리거 받침 철판</t>
  </si>
  <si>
    <t xml:space="preserve">1,500×1,500×25t, 8매</t>
  </si>
  <si>
    <t xml:space="preserve">아스팔트 지반 보호</t>
  </si>
  <si>
    <t xml:space="preserve">밀착 이동 장비</t>
  </si>
  <si>
    <t xml:space="preserve">유압잭·윈치·스키드</t>
  </si>
  <si>
    <t xml:space="preserve">밀착 이동 2일</t>
  </si>
  <si>
    <t xml:space="preserve">공구사용손료</t>
  </si>
  <si>
    <t xml:space="preserve">도비 전문장비·줄걸이구</t>
  </si>
  <si>
    <t xml:space="preserve">소모품·잡자재</t>
  </si>
  <si>
    <t xml:space="preserve">목재 받침·와이어 보호대 등</t>
  </si>
  <si>
    <t xml:space="preserve">안전펜스 임대</t>
  </si>
  <si>
    <t xml:space="preserve">이동식 메쉬펜스 H1.8×W2.4m</t>
  </si>
  <si>
    <t xml:space="preserve">22매(둘레 50m + 출입문) × 11일</t>
  </si>
  <si>
    <t xml:space="preserve">펜스 설치·해체</t>
  </si>
  <si>
    <t xml:space="preserve">설치 인건비</t>
  </si>
  <si>
    <t xml:space="preserve">설치 2명 × 0.5일 + 해체 2명 × 0.5일</t>
  </si>
  <si>
    <t xml:space="preserve">펜스 운반</t>
  </si>
  <si>
    <t xml:space="preserve">1톤 화물 왕복</t>
  </si>
  <si>
    <t xml:space="preserve">반입 1 + 반출 1</t>
  </si>
  <si>
    <t xml:space="preserve">출입통제 안전장비</t>
  </si>
  <si>
    <t xml:space="preserve">경비</t>
  </si>
  <si>
    <t xml:space="preserve">간식·음료·교통비 등</t>
  </si>
  <si>
    <t xml:space="preserve">법정경비·일반관리비·이윤</t>
  </si>
  <si>
    <t xml:space="preserve">산재·고용보험, 산업안전보건관리비, 일반관리비, 이윤, 단수정리</t>
  </si>
  <si>
    <t xml:space="preserve">식</t>
  </si>
  <si>
    <t xml:space="preserve">요율근거 시트</t>
  </si>
  <si>
    <t xml:space="preserve">도비 소계</t>
  </si>
  <si>
    <t xml:space="preserve">도비 시트 참조</t>
  </si>
  <si>
    <t xml:space="preserve">용접 작업: 접합면 사상, CO2 용접, 화재감시</t>
  </si>
  <si>
    <t xml:space="preserve">용접사</t>
  </si>
  <si>
    <t xml:space="preserve">CO2 용접 (접합부)</t>
  </si>
  <si>
    <t xml:space="preserve">3명 × 3일</t>
  </si>
  <si>
    <t xml:space="preserve">고급기술자</t>
  </si>
  <si>
    <t xml:space="preserve">제관사 수준 (취부·치수 관리)</t>
  </si>
  <si>
    <t xml:space="preserve">2명 × 3일</t>
  </si>
  <si>
    <t xml:space="preserve">사상 기술자</t>
  </si>
  <si>
    <t xml:space="preserve">접합면 그라인딩</t>
  </si>
  <si>
    <t xml:space="preserve">2명 × 2일</t>
  </si>
  <si>
    <t xml:space="preserve">조공</t>
  </si>
  <si>
    <t xml:space="preserve">사상·용접 보조</t>
  </si>
  <si>
    <t xml:space="preserve">화재감시자</t>
  </si>
  <si>
    <t xml:space="preserve">용접·사상 화기작업 전담</t>
  </si>
  <si>
    <t xml:space="preserve">1명 × 5일 (사상 2 + 용접 3)</t>
  </si>
  <si>
    <t xml:space="preserve">CO2 용접기 대여</t>
  </si>
  <si>
    <t xml:space="preserve">500A급</t>
  </si>
  <si>
    <t xml:space="preserve">3대 × 3일</t>
  </si>
  <si>
    <t xml:space="preserve">그라인더·환기·조명</t>
  </si>
  <si>
    <t xml:space="preserve">송풍기, 투광등 포함</t>
  </si>
  <si>
    <t xml:space="preserve">용접 소모품</t>
  </si>
  <si>
    <t xml:space="preserve">CO2 가스·와이어·디스크·케이블·잡자재</t>
  </si>
  <si>
    <t xml:space="preserve">작업발판 장비 임대</t>
  </si>
  <si>
    <t xml:space="preserve">가스절단기 임대</t>
  </si>
  <si>
    <t xml:space="preserve">산소·LPG, 2대 공정기간 상시</t>
  </si>
  <si>
    <t xml:space="preserve">2대 × 11일</t>
  </si>
  <si>
    <t xml:space="preserve">식대·교통비·부대 잡비</t>
  </si>
  <si>
    <t xml:space="preserve">용접 9 + 고급기술자 6 + 사상 4 + 조공 4 + 화재감시 5</t>
  </si>
  <si>
    <t xml:space="preserve">용접 소계</t>
  </si>
  <si>
    <t xml:space="preserve">용접 시트 참조</t>
  </si>
  <si>
    <t xml:space="preserve">베이스 작업: 임시 사다리형 베이스 제작·설치·회수</t>
  </si>
  <si>
    <t xml:space="preserve">H빔 (회수조건)</t>
  </si>
  <si>
    <t xml:space="preserve">H-250×250×9×14, 10m 4·5m 16·0.6m 30EA</t>
  </si>
  <si>
    <t xml:space="preserve">공사 후 회수, 중고 구매가 9,577,783원</t>
  </si>
  <si>
    <t xml:space="preserve">H빔 반입 운임</t>
  </si>
  <si>
    <t xml:space="preserve">회수 반출 운임</t>
  </si>
  <si>
    <t xml:space="preserve">반입 운임과 같게 적용</t>
  </si>
  <si>
    <t xml:space="preserve">용접봉·가스·디스크</t>
  </si>
  <si>
    <t xml:space="preserve">레벨 조정재</t>
  </si>
  <si>
    <t xml:space="preserve">라이너·심 플레이트</t>
  </si>
  <si>
    <t xml:space="preserve">베이스 수평 ±2mm</t>
  </si>
  <si>
    <t xml:space="preserve">제관사</t>
  </si>
  <si>
    <t xml:space="preserve">절단·취부</t>
  </si>
  <si>
    <t xml:space="preserve">베이스 조립 용접</t>
  </si>
  <si>
    <t xml:space="preserve">자재 정리·보조</t>
  </si>
  <si>
    <t xml:space="preserve">용접·절단 화기작업 전담</t>
  </si>
  <si>
    <t xml:space="preserve">지게차</t>
  </si>
  <si>
    <t xml:space="preserve">자재 하역·조립</t>
  </si>
  <si>
    <t xml:space="preserve">회수 시 해체·상차</t>
  </si>
  <si>
    <t xml:space="preserve">1대 × 3일</t>
  </si>
  <si>
    <t xml:space="preserve">제관 6 + 용접 3 + 조공 3 + 화재감시 3 (가스절단기는 용접 공종에 계상)</t>
  </si>
  <si>
    <t xml:space="preserve">베이스 소계</t>
  </si>
  <si>
    <t xml:space="preserve">베이스 시트 참조</t>
  </si>
  <si>
    <t xml:space="preserve">공급가액</t>
  </si>
  <si>
    <t xml:space="preserve">부가세 (10%)</t>
  </si>
  <si>
    <t xml:space="preserve">합계 (VAT 포함)</t>
  </si>
  <si>
    <t xml:space="preserve">특기사항</t>
  </si>
  <si>
    <t xml:space="preserve">1. 공사 기간: 2026.10.21 ~ 2026.11.02 (가정 일정, 작업일 11일, 공정표 시트 참조). 날짜는 가정이며 착공일은 발주처 협의로 확정함.</t>
  </si>
  <si>
    <t xml:space="preserve">2. 결제 조건: 협의 (예: 착수 30%, 준공 후 70%).</t>
  </si>
  <si>
    <t xml:space="preserve">3. 견적 유효기간: 발행일로부터 30일.</t>
  </si>
  <si>
    <t xml:space="preserve">4. 포함: 임시 베이스 제작·설치·회수, 이동식 크레인(100t·60t)·도비, 접합면 사상, CO2 용접, 화재감시, 안전펜스·출입통제.</t>
  </si>
  <si>
    <t xml:space="preserve">5. 제외: 전기 수전, 배관·닥트 해체·복구, 보온, 도장, 비파괴검사(PT/UT), 시운전. 비파괴검사는 발주처 요구 시 별도 정산함.</t>
  </si>
  <si>
    <t xml:space="preserve">6. 크레인 사양·배치는 인양계획서와 지반 검토 후 확정하며, 크레인 변경에 따른 추가비용은 없음.</t>
  </si>
  <si>
    <t xml:space="preserve">7. 연장·야간·휴일 작업은 공정에 따라 당사가 수행하며 추가 정산하지 않음. 기상(우천 시 용접 불가)·발주처 사유에 따른 대기는 별도 협의함.</t>
  </si>
  <si>
    <t xml:space="preserve">8. 작업구역(약 10×15m)은 이동식 안전펜스로 통제하며, 발주처 안전관리 규정과 출입 절차를 따름.</t>
  </si>
  <si>
    <t xml:space="preserve">9. 대안(B안: 기존 조방 개조 + 전체 90° 회전)의 금액은 AB비교 시트에 정리함.</t>
  </si>
  <si>
    <t xml:space="preserve">위와 같이 견적합니다.</t>
  </si>
  <si>
    <t xml:space="preserve">2026년 10월 13일</t>
  </si>
  <si>
    <t xml:space="preserve">엔엠솔루션   대표 김성배   (인)</t>
  </si>
  <si>
    <t xml:space="preserve">엔엠솔루션  |  경기도 평택시 고덕동 도시지원로 121 지식공장아이타워 906호  |  대표전화 1800-5901  |  직통 010-2369-3691  |  nm-solution.co.kr</t>
  </si>
  <si>
    <t xml:space="preserve">공 사 원 가 계 산 서</t>
  </si>
  <si>
    <t xml:space="preserve">공사명 : 진공건조로 회전·안착 및 접합부 용접 공사   |   NM-2610-01</t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</si>
  <si>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</si>
  <si>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</si>
  <si>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</si>
  <si>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</si>
  <si>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</si>
  <si>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</si>
  <si>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</si>
  <si>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</si>
  <si>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</si>
  <si>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</si>
  <si>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</si>
  <si>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</si>
  <si>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</si>
  <si>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</si>
  <si>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</si>
  <si>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t xml:space="preserve">부가가치세 (10%)</t>
  </si>
  <si>
    <t xml:space="preserve">총 공사금액</t>
  </si>
  <si>
    <t xml:space="preserve">요율: 산재 3.56%·고용 1.15% (노무비 기준), 산업안전보건관리비 3.11% ((재료비 + 노무비) 기준), 일반관리비 5% (순공사원가 기준), 이윤은 공종별 15% 이내. 근거는 '요율근거' 시트.</t>
  </si>
  <si>
    <t xml:space="preserve">A안 · B안 금액 비교 (공급가액, 부가세 별도)</t>
  </si>
  <si>
    <t xml:space="preserve">구분</t>
  </si>
  <si>
    <t xml:space="preserve">A안 (임시 베이스 + 밀착 이동)</t>
  </si>
  <si>
    <t xml:space="preserve">B안 (조방 개조 + 90° 회전)</t>
  </si>
  <si>
    <t xml:space="preserve">차액 (B − A)</t>
  </si>
  <si>
    <t xml:space="preserve">B안: 200t급 크레인 1대 추가(350만/일, 단독 90° 회전), 도비 6명 1일 추가</t>
  </si>
  <si>
    <t xml:space="preserve">같은 인원·장비로 상부·측면 용접 후 회전해서 하부 용접</t>
  </si>
  <si>
    <t xml:space="preserve">베이스 / 조방</t>
  </si>
  <si>
    <t xml:space="preserve">B안: 신규 베이스 대신 조방 개조(현장 보강보), 기구물·배관 제거·복원 2명 × 2일</t>
  </si>
  <si>
    <t xml:space="preserve">공급가액 계</t>
  </si>
  <si>
    <t xml:space="preserve">※ B안 200t급 크레인은 사용자 제시 단가 350만/일 적용. 회송·웨이트 운반은 별도 줄로 넣음. B안 용접은 3면 용접 → 전체 90° 회전 → 나머지 1면 용접 순서로, 용접 1일이 회전 후로 이동함(금액 동일).</t>
  </si>
  <si>
    <t xml:space="preserve">※ B안 회전은 일체 약 86t(38t + 48t)을 모서리 기준으로 세우는 작업으로, 실제 크레인 사양은 인양계획서·구조검토로 확정 필요함.</t>
  </si>
  <si>
    <t xml:space="preserve">※ 회전 후 원래 자세로 되돌리는 회전이나 영구 받침이 필요하면 별도임.</t>
  </si>
  <si>
    <t xml:space="preserve">견적 산출근거</t>
  </si>
  <si>
    <t xml:space="preserve">금액은 공종 시트에서 연동됨. 근거란에 '가정값'으로 표시한 항목은 업체 견적으로 확인할 값임.</t>
  </si>
  <si>
    <t xml:space="preserve">공종</t>
  </si>
  <si>
    <t xml:space="preserve">산출식</t>
  </si>
  <si>
    <t xml:space="preserve">금액(원)</t>
  </si>
  <si>
    <t xml:space="preserve">근거</t>
  </si>
  <si>
    <t xml:space="preserve">시중노임 참고</t>
  </si>
  <si>
    <t xml:space="preserve">(6 + 6 + 3)명 × 300,000원</t>
  </si>
  <si>
    <t xml:space="preserve">인원 사용자 제시 (2026-10-12), 단가 서해테크 도비 견적서(2026-10-10) 단가</t>
  </si>
  <si>
    <t xml:space="preserve">비계공 281,939원</t>
  </si>
  <si>
    <t xml:space="preserve">2명 × 1일 × 260,000원</t>
  </si>
  <si>
    <t xml:space="preserve">가정값 (업체 견적으로 확인 필요)</t>
  </si>
  <si>
    <t xml:space="preserve">특별인부 226,122원</t>
  </si>
  <si>
    <t xml:space="preserve">1명 × 3일 × 320,000원</t>
  </si>
  <si>
    <t xml:space="preserve">1대 × 1일 × 2,400,000원</t>
  </si>
  <si>
    <t xml:space="preserve">사용자 제시</t>
  </si>
  <si>
    <t xml:space="preserve">1대 × 1일 × 1,700,000원</t>
  </si>
  <si>
    <t xml:space="preserve">8매 × 80,000원</t>
  </si>
  <si>
    <t xml:space="preserve">1식 (2일)</t>
  </si>
  <si>
    <t xml:space="preserve">1식</t>
  </si>
  <si>
    <t xml:space="preserve">서해테크 도비 견적서(2026-10-10) 단가</t>
  </si>
  <si>
    <t xml:space="preserve">작업구역 10×15m, 둘레 50m ÷ 2.4m = 21매 + 출입문 1매 → 22매 × 11일 × 5,000원</t>
  </si>
  <si>
    <t xml:space="preserve">수량 가정값 (업체 견적으로 확인 필요), 단가 사용자 제시</t>
  </si>
  <si>
    <t xml:space="preserve">2명 × 1일 × 250,000원</t>
  </si>
  <si>
    <t xml:space="preserve">보통인부 172,068원</t>
  </si>
  <si>
    <t xml:space="preserve">2회 × 260,000원</t>
  </si>
  <si>
    <t xml:space="preserve">1식 600,000원</t>
  </si>
  <si>
    <t xml:space="preserve">공종 합계</t>
  </si>
  <si>
    <t xml:space="preserve">목표 약 20,000,000원 (사용자 제시)</t>
  </si>
  <si>
    <t xml:space="preserve">3명 × 3일 × 500,000원</t>
  </si>
  <si>
    <t xml:space="preserve">인원·일수 사용자 제시, 단가 현장 실거래 수준 적용 (사용자 지시: 용접사 상향, 고급기술자=제관사 수준)</t>
  </si>
  <si>
    <t xml:space="preserve">플랜트용접공 292,640원</t>
  </si>
  <si>
    <t xml:space="preserve">2명 × 3일 × 350,000원</t>
  </si>
  <si>
    <t xml:space="preserve">플랜트제관공 266,029원</t>
  </si>
  <si>
    <t xml:space="preserve">2명 × 2일 × 300,000원</t>
  </si>
  <si>
    <t xml:space="preserve">인원·일수 사용자 제시</t>
  </si>
  <si>
    <t xml:space="preserve">2명 × 2일 × 200,000원</t>
  </si>
  <si>
    <t xml:space="preserve">1명 × 5일 × 250,000원</t>
  </si>
  <si>
    <t xml:space="preserve">산업안전보건기준에 관한 규칙 제241조의2, 단가 가정값 (업체 견적으로 확인 필요)</t>
  </si>
  <si>
    <t xml:space="preserve">3대 × 3일 × 400,000원</t>
  </si>
  <si>
    <t xml:space="preserve">1식 (용접재 3,000,000 + 전원 케이블·잡자재 680,000)</t>
  </si>
  <si>
    <t xml:space="preserve">1식 (사용자 제시 약 100만원)</t>
  </si>
  <si>
    <t xml:space="preserve">2대 × 11일 × 100,000원</t>
  </si>
  <si>
    <t xml:space="preserve">28인·일 기준 1식</t>
  </si>
  <si>
    <t xml:space="preserve">목표 약 25,000,000원 (사용자 제시)</t>
  </si>
  <si>
    <t xml:space="preserve">9,991kg × 700원 (중고 구매 9,577,783원 − 회수 고철가치 약 400만원 + 회수 손료)</t>
  </si>
  <si>
    <t xml:space="preserve">공급처 H빔 견적 + 사용자 제시 (회수조건 약 700만원)</t>
  </si>
  <si>
    <t xml:space="preserve">공급처 H빔 견적</t>
  </si>
  <si>
    <t xml:space="preserve">인원 사용자 제시(4명), 직종 구성 가정</t>
  </si>
  <si>
    <t xml:space="preserve">1명 × 3일 × 500,000원</t>
  </si>
  <si>
    <t xml:space="preserve">1명 × 3일 × 200,000원</t>
  </si>
  <si>
    <t xml:space="preserve">1명 × 3일 × 250,000원</t>
  </si>
  <si>
    <t xml:space="preserve">2일 × 300,000원</t>
  </si>
  <si>
    <t xml:space="preserve">1일 × 300,000원</t>
  </si>
  <si>
    <t xml:space="preserve">사용자 제시 단가 준용</t>
  </si>
  <si>
    <t xml:space="preserve">1대 × 3일 × 400,000원</t>
  </si>
  <si>
    <t xml:space="preserve">15인·일 기준 1식</t>
  </si>
  <si>
    <t xml:space="preserve">목표 약 18,000,000원 (사용자 제시)</t>
  </si>
  <si>
    <t xml:space="preserve">B_도비</t>
  </si>
  <si>
    <t xml:space="preserve">안착·밀착·90° 회전·회전 후 정리</t>
  </si>
  <si>
    <t xml:space="preserve">(6 + 6 + 3 + 6)명 × 300,000원</t>
  </si>
  <si>
    <t xml:space="preserve">인원 사용자 제시 (2026-10-12: A안 + 6명 1일), 단가 서해테크 도비 견적서(2026-10-10) 단가</t>
  </si>
  <si>
    <t xml:space="preserve">2명 × 2일 × 260,000원</t>
  </si>
  <si>
    <t xml:space="preserve">인양구역 통제</t>
  </si>
  <si>
    <t xml:space="preserve">100TON (안착)</t>
  </si>
  <si>
    <t xml:space="preserve">60TON (안착)</t>
  </si>
  <si>
    <t xml:space="preserve">200TON급 (90° 회전 주 크레인)</t>
  </si>
  <si>
    <t xml:space="preserve">1대 × 1일 × 3,500,000원</t>
  </si>
  <si>
    <t xml:space="preserve">사용자 제시 (사용자 제시 2026-10-12: 350만/일)</t>
  </si>
  <si>
    <t xml:space="preserve">200TON 회송·웨이트 운반</t>
  </si>
  <si>
    <t xml:space="preserve">카운터웨이트 트레일러 왕복</t>
  </si>
  <si>
    <t xml:space="preserve">회전용 대형 줄걸이</t>
  </si>
  <si>
    <t xml:space="preserve">100t급 샤클·슬링·스프레더 손료</t>
  </si>
  <si>
    <t xml:space="preserve">2회 × 640,000원</t>
  </si>
  <si>
    <t xml:space="preserve">회전 착지 깔목·고무판</t>
  </si>
  <si>
    <t xml:space="preserve">목재 받침 300×300, 고무판</t>
  </si>
  <si>
    <t xml:space="preserve">와이어 보호대 등</t>
  </si>
  <si>
    <t xml:space="preserve">A안과 같음</t>
  </si>
  <si>
    <t xml:space="preserve">B안 (대안)</t>
  </si>
  <si>
    <t xml:space="preserve">B_용접</t>
  </si>
  <si>
    <t xml:space="preserve">B_조방</t>
  </si>
  <si>
    <t xml:space="preserve">보강보</t>
  </si>
  <si>
    <t xml:space="preserve">H-200급, 약 25m (현장 보유 강재 사용)</t>
  </si>
  <si>
    <t xml:space="preserve">사용자 지시 2026-10-12: 현장에 있는 강재 사용</t>
  </si>
  <si>
    <t xml:space="preserve">배관 복구 자재</t>
  </si>
  <si>
    <t xml:space="preserve">가스켓·볼트·너트</t>
  </si>
  <si>
    <t xml:space="preserve">조방 보강보 취부</t>
  </si>
  <si>
    <t xml:space="preserve">2명 × 1일 × 350,000원</t>
  </si>
  <si>
    <t xml:space="preserve">보강보 용접</t>
  </si>
  <si>
    <t xml:space="preserve">2명 × 1일 × 500,000원</t>
  </si>
  <si>
    <t xml:space="preserve">보조</t>
  </si>
  <si>
    <t xml:space="preserve">2명 × 1일 × 200,000원</t>
  </si>
  <si>
    <t xml:space="preserve">화기작업 전담</t>
  </si>
  <si>
    <t xml:space="preserve">1명 × 1일 × 250,000원</t>
  </si>
  <si>
    <t xml:space="preserve">바닥 접촉면 기구물·배관 제거·복원</t>
  </si>
  <si>
    <t xml:space="preserve">2명 × 2일 × 350,000원</t>
  </si>
  <si>
    <t xml:space="preserve">사용자 지시 2026-10-12 (눕혀 작업하기 위한 기구물 제거·복원), 단가 가정값 (업체 견적으로 확인 필요)</t>
  </si>
  <si>
    <t xml:space="preserve">11인·일 기준 1식</t>
  </si>
  <si>
    <t xml:space="preserve">근거 구분: 사용자 제시 = 받은 단가·인원·일수 / 서해테크 = 도비 협력사 견적서(2026-10-10) / 공급처 = H빔 견적 / 가정값 = 업체 견적 전 임시값</t>
  </si>
  <si>
    <t xml:space="preserve">공 종 별   내 역 서</t>
  </si>
  <si>
    <t xml:space="preserve">견적번호 NM-2610-01   |   견적일 2026-10-13   |   금강변압기 유한회사 귀중</t>
  </si>
  <si>
    <t xml:space="preserve">공 종 : 진공건조로 2기 회전·베이스 안착(1일), 용접면 밀착 이동(2일), 작업구역 안전펜스</t>
  </si>
  <si>
    <t xml:space="preserve">인·일</t>
  </si>
  <si>
    <t xml:space="preserve">장비</t>
  </si>
  <si>
    <t xml:space="preserve">대·일</t>
  </si>
  <si>
    <t xml:space="preserve">SET</t>
  </si>
  <si>
    <t xml:space="preserve">안전시설</t>
  </si>
  <si>
    <t xml:space="preserve">매·일</t>
  </si>
  <si>
    <t xml:space="preserve">회</t>
  </si>
  <si>
    <t xml:space="preserve">재료비 계</t>
  </si>
  <si>
    <t xml:space="preserve">노무비 계</t>
  </si>
  <si>
    <t xml:space="preserve">경비 계</t>
  </si>
  <si>
    <t xml:space="preserve">노무비 × 3.56%</t>
  </si>
  <si>
    <t xml:space="preserve">노무비 × 1.15%</t>
  </si>
  <si>
    <t xml:space="preserve">(재료비 + 노무비) × 3.11%</t>
  </si>
  <si>
    <t xml:space="preserve">순공사원가 × 5%</t>
  </si>
  <si>
    <t xml:space="preserve">(노무비 + 경비 + 일반관리비) × 15.0%</t>
  </si>
  <si>
    <t xml:space="preserve">천원 미만 절사</t>
  </si>
  <si>
    <t xml:space="preserve">부가세 별도</t>
  </si>
  <si>
    <t xml:space="preserve">※ 수량·단가의 근거는 '산출근거'·'요율근거' 시트에 정리함.</t>
  </si>
  <si>
    <t xml:space="preserve">※ 연장·야간·휴일 작업은 공정에 따라 당사가 수행함 (추가 정산 없음).</t>
  </si>
  <si>
    <t xml:space="preserve">공 종 : 접합면 사상(2일) 및 접합부 CO2 용접(3일)</t>
  </si>
  <si>
    <t xml:space="preserve">공 종 : 사다리형 일체 임시 베이스 제작·설치 및 공사 후 회수, H-250×250</t>
  </si>
  <si>
    <t xml:space="preserve">kg</t>
  </si>
  <si>
    <t xml:space="preserve">일</t>
  </si>
  <si>
    <t xml:space="preserve">공 종 : B안: 조방 안착(100t·60t) + 전체 90° 회전(200t 단독), 안전펜스</t>
  </si>
  <si>
    <t xml:space="preserve">A안 (6, 6, 3) + 회전일 6명 × 1일</t>
  </si>
  <si>
    <t xml:space="preserve">2명 × 2일 (안착일 + 회전일)</t>
  </si>
  <si>
    <t xml:space="preserve">안착일</t>
  </si>
  <si>
    <t xml:space="preserve">회전일, 일체 약 86t</t>
  </si>
  <si>
    <t xml:space="preserve">대형 크레인 부대비</t>
  </si>
  <si>
    <t xml:space="preserve">200t 단독 회전</t>
  </si>
  <si>
    <t xml:space="preserve">안착일 + 회전일</t>
  </si>
  <si>
    <t xml:space="preserve">회전 후 착지면 보호</t>
  </si>
  <si>
    <t xml:space="preserve">22매 × 11일</t>
  </si>
  <si>
    <t xml:space="preserve">공 종 : B안: 사상, 3면 용접 → 회전 후 나머지 1면 용접</t>
  </si>
  <si>
    <t xml:space="preserve">공 종 : B안: 기존 조방 7×3m 개조(현장 보유 보강보), 바닥 접촉면 기구물·배관 제거·복원</t>
  </si>
  <si>
    <t xml:space="preserve">현장 보유분 사용, 자재비 미계상</t>
  </si>
  <si>
    <t xml:space="preserve">제거한 배관 재조립용</t>
  </si>
  <si>
    <t xml:space="preserve">2명 × 1일</t>
  </si>
  <si>
    <t xml:space="preserve">1명 × 1일</t>
  </si>
  <si>
    <t xml:space="preserve">2명 × 2일 (제거 1 + 복원 1), 사용자 지정 2명</t>
  </si>
  <si>
    <t xml:space="preserve">개조 1일 7명 + 제거·복원 2명 × 2일 (용접기·절단기 임대는 용접 공종에 계상)</t>
  </si>
  <si>
    <t xml:space="preserve">베이스 자재: H-250×250×9×14 (공급처 견적, 부가세 미포함)</t>
  </si>
  <si>
    <t xml:space="preserve">길이(m)</t>
  </si>
  <si>
    <t xml:space="preserve">수량(EA)</t>
  </si>
  <si>
    <t xml:space="preserve">총 길이(m)</t>
  </si>
  <si>
    <t xml:space="preserve">단위중량(kg/m)</t>
  </si>
  <si>
    <t xml:space="preserve">중량(kg)</t>
  </si>
  <si>
    <t xml:space="preserve">kg당(원)</t>
  </si>
  <si>
    <t xml:space="preserve">신품 구매</t>
  </si>
  <si>
    <t xml:space="preserve">공급처 견적</t>
  </si>
  <si>
    <t xml:space="preserve">중고 구매</t>
  </si>
  <si>
    <t xml:space="preserve">고철 매각 예상</t>
  </si>
  <si>
    <r>
      <rPr>
        <sz val="11"/>
        <color theme="1"/>
        <rFont val="WenQuanYi Zen Hei"/>
        <family val="2"/>
      </rPr>
      <t xml:space="preserve">사용자 제시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Calibri"/>
        <family val="2"/>
        <charset val="1"/>
      </rPr>
      <t xml:space="preserve">)</t>
    </r>
  </si>
  <si>
    <t xml:space="preserve">회수조건 적용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</si>
  <si>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WenQuanYi Zen Hei"/>
        <family val="2"/>
      </rPr>
      <t xml:space="preserve">당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견적 반영</t>
    </r>
  </si>
  <si>
    <r>
      <rPr>
        <sz val="11"/>
        <color theme="1"/>
        <rFont val="WenQuanYi Zen Hei"/>
        <family val="2"/>
      </rPr>
      <t xml:space="preserve">회수 손료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차액</t>
    </r>
    <r>
      <rPr>
        <sz val="11"/>
        <color theme="1"/>
        <rFont val="Calibri"/>
        <family val="2"/>
        <charset val="1"/>
      </rPr>
      <t xml:space="preserve">)</t>
    </r>
  </si>
  <si>
    <t xml:space="preserve">중고 구매가 − 고철가치 대비 추가분</t>
  </si>
  <si>
    <t xml:space="preserve">단위중량 72.4 kg/m는 KS H-250×250×9×14 공칭값임. 베이스는 임시 구조물로 방청·도장 미적용.</t>
  </si>
  <si>
    <t xml:space="preserve">공정표 (가정 일정 2026.10.21 ~ 11.02, 작업일 11일)</t>
  </si>
  <si>
    <t xml:space="preserve">공정</t>
  </si>
  <si>
    <t xml:space="preserve">투입 인원</t>
  </si>
  <si>
    <t xml:space="preserve">10/21
수</t>
  </si>
  <si>
    <t xml:space="preserve">10/22
목</t>
  </si>
  <si>
    <t xml:space="preserve">10/23
금</t>
  </si>
  <si>
    <t xml:space="preserve">10/24
토</t>
  </si>
  <si>
    <t xml:space="preserve">10/26
월</t>
  </si>
  <si>
    <t xml:space="preserve">10/27
화</t>
  </si>
  <si>
    <t xml:space="preserve">10/28
수</t>
  </si>
  <si>
    <t xml:space="preserve">10/29
목</t>
  </si>
  <si>
    <t xml:space="preserve">10/30
금</t>
  </si>
  <si>
    <t xml:space="preserve">10/31
토</t>
  </si>
  <si>
    <t xml:space="preserve">11/2
월</t>
  </si>
  <si>
    <t xml:space="preserve">안전펜스 설치·작업구역 통제</t>
  </si>
  <si>
    <t xml:space="preserve">조공 2명</t>
  </si>
  <si>
    <t xml:space="preserve">베이스 제작·설치</t>
  </si>
  <si>
    <t xml:space="preserve">제관 2, 용접 1, 조공 1, 화재감시 1</t>
  </si>
  <si>
    <t xml:space="preserve">회전·베이스 안착 (100t + 60t)</t>
  </si>
  <si>
    <t xml:space="preserve">도비 6명, 신호수 2, 안전담당</t>
  </si>
  <si>
    <t xml:space="preserve">접합면 사상</t>
  </si>
  <si>
    <t xml:space="preserve">사상 2, 조공 2, 화재감시 1</t>
  </si>
  <si>
    <t xml:space="preserve">용접면 밀착 이동</t>
  </si>
  <si>
    <t xml:space="preserve">도비 6명·3명, 안전담당</t>
  </si>
  <si>
    <t xml:space="preserve">접합부 용접</t>
  </si>
  <si>
    <t xml:space="preserve">용접사 3, 고급기술자 2, 화재감시 1</t>
  </si>
  <si>
    <t xml:space="preserve">펜스 해체·정리</t>
  </si>
  <si>
    <t xml:space="preserve">가정 일정: 2026-10-21(수) 착공 ~ 11-02(월) 완료, 일요일 휴무 기준 작업일 11일. 날짜는 가정이며 착공일은 발주처 협의로 확정함.</t>
  </si>
  <si>
    <t xml:space="preserve">요율 및 단가 근거</t>
  </si>
  <si>
    <t xml:space="preserve">요율·단가 칸은 입력값임. 변경 시 모든 공종 시트와 견적서가 다시 계산됨.</t>
  </si>
  <si>
    <t xml:space="preserve">항목</t>
  </si>
  <si>
    <t xml:space="preserve">적용 기준</t>
  </si>
  <si>
    <t xml:space="preserve">요율</t>
  </si>
  <si>
    <t xml:space="preserve">출처·비고</t>
  </si>
  <si>
    <t xml:space="preserve">노무비 ×</t>
  </si>
  <si>
    <t xml:space="preserve">고용노동부 2026년 보험료율 고시 (대한전문건설협회 안내자료): 건설업 3.56% (출퇴근재해 0.06% 포함)</t>
  </si>
  <si>
    <t xml:space="preserve">고용노동부 2026년 보험료율 고시 (대한전문건설협회 안내자료): 실업급여 사업주 0.9% + 고용안정·직업능력개발 0.25% (150인 미만)</t>
  </si>
  <si>
    <t xml:space="preserve">(재료비 + 노무비) ×</t>
  </si>
  <si>
    <t xml:space="preserve">고용노동부 건설업 산업안전보건관리비 계상 및 사용기준 (5억 미만 건축공사 3.11%). 총공사금액 2천만원 이상 의무 계상</t>
  </si>
  <si>
    <t xml:space="preserve">순공사원가 ×</t>
  </si>
  <si>
    <t xml:space="preserve">국가계약법 시행규칙 제8조 (일반관리비 6%·이윤 15% 상한, 민간공사 참고). 6% 이내에서 5% 적용</t>
  </si>
  <si>
    <t xml:space="preserve">이윤 (도비)</t>
  </si>
  <si>
    <t xml:space="preserve">(노무비 + 경비 + 일반관리비) ×</t>
  </si>
  <si>
    <t xml:space="preserve">국가계약법 시행규칙 제8조 (일반관리비 6%·이윤 15% 상한, 민간공사 참고). 15% 이내</t>
  </si>
  <si>
    <t xml:space="preserve">이윤 (용접)</t>
  </si>
  <si>
    <t xml:space="preserve">이윤 (베이스)</t>
  </si>
  <si>
    <t xml:space="preserve">이윤 (B_도비)</t>
  </si>
  <si>
    <t xml:space="preserve">이윤 (B_용접)</t>
  </si>
  <si>
    <t xml:space="preserve">이윤 (B_조방)</t>
  </si>
  <si>
    <t xml:space="preserve">국민연금·건강·장기요양</t>
  </si>
  <si>
    <t xml:space="preserve">미계상</t>
  </si>
  <si>
    <t xml:space="preserve">-</t>
  </si>
  <si>
    <t xml:space="preserve">1인 투입 3~5일로 건설일용 사업장가입 기준(월 8일 이상 또는 월 220만원 이상)에 미달하는 것으로 봄. 인원 운용이 바뀌면 국민연금 4.75%, 건강 3.545%, 장기요양(건강보험료의 12.95%) 추가</t>
  </si>
  <si>
    <t xml:space="preserve">시중노임 대비 적용 단가</t>
  </si>
  <si>
    <t xml:space="preserve">직종 (견적)</t>
  </si>
  <si>
    <t xml:space="preserve">시중노임 직종</t>
  </si>
  <si>
    <t xml:space="preserve">시중노임(원/일)</t>
  </si>
  <si>
    <t xml:space="preserve">적용 단가(원/일)</t>
  </si>
  <si>
    <t xml:space="preserve">배율</t>
  </si>
  <si>
    <t xml:space="preserve">플랜트용접공</t>
  </si>
  <si>
    <t xml:space="preserve">고급기술자·제관사</t>
  </si>
  <si>
    <t xml:space="preserve">플랜트제관공</t>
  </si>
  <si>
    <t xml:space="preserve">특별인부</t>
  </si>
  <si>
    <t xml:space="preserve">보통인부</t>
  </si>
  <si>
    <t xml:space="preserve">비계공</t>
  </si>
  <si>
    <t xml:space="preserve">시중노임은 대한건설협회 2026년 상반기 적용 건설업 임금실태조사 보고서(2026.1.1 적용) 기준. 대한건설협회 2026년 하반기 적용 조사(2026.9.1 적용) 132개 직종 평균 282,737원, 직전 대비 +0.98%. 적용 단가는 숙련 기능공 현장 실거래 수준(사용자 지시)으로 시중노임보다 높게 적용함.</t>
  </si>
  <si>
    <t xml:space="preserve">출처</t>
  </si>
  <si>
    <t xml:space="preserve">시중노임 상반기</t>
  </si>
  <si>
    <t xml:space="preserve">https://www.kmcca.or.kr/images/pegs/down_file/2026%EB%85%84%20%EC%83%81%EB%B0%98%EA%B8%B0%EC%A0%81%EC%9A%A9%20%EA%B1%B4%EC%84%A4%EC%97%85%20%EC%9E%84%EA%B8%88%EC%8B%A4%ED%83%9C%EC%A1%B0%EC%82%AC%20%EB%B3%B4%EA%B3%A0%EC%84%9C.pdf</t>
  </si>
  <si>
    <t xml:space="preserve">시중노임 하반기</t>
  </si>
  <si>
    <t xml:space="preserve">http://www.conslove.co.kr/news/articleView.html?idxno=89479</t>
  </si>
  <si>
    <t xml:space="preserve">산재·고용보험 요율</t>
  </si>
  <si>
    <t xml:space="preserve">https://www.kosca21.or.kr/km_board/upload/km_b_notice/1767346180_02.pdf</t>
  </si>
  <si>
    <t xml:space="preserve">https://biz.newdaily.co.kr/site/data/html/2026/05/07/2026050700116.html</t>
  </si>
  <si>
    <t xml:space="preserve">원가계산 제비율</t>
  </si>
  <si>
    <t xml:space="preserve">https://04noti.com/construction-cost-ratio-guide/</t>
  </si>
  <si>
    <t xml:space="preserve">2026 4대보험(연금·건강)</t>
  </si>
  <si>
    <t xml:space="preserve">https://calctools.co.kr/blog/daily-worker-insurance</t>
  </si>
  <si>
    <t xml:space="preserve">화재감시자 기준</t>
  </si>
  <si>
    <t xml:space="preserve">산업안전보건기준에 관한 규칙 제241조의2</t>
  </si>
  <si>
    <t xml:space="preserve">조사일 2026-10-12. 요율은 해마다 바뀌므로 계약 시점 고시로 재확인 필요함.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</si>
</sst>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0.0%"/>
    <numFmt numFmtId="167" formatCode="General"/>
    <numFmt numFmtId="168" formatCode="#,##0"/>
    <numFmt numFmtId="169" formatCode="0.00%"/>
    <numFmt numFmtId="170" formatCode="0.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E8742A"/>
      <name val="Pretendard SemiBold"/>
      <family val="0"/>
      <charset val="1"/>
    </font>
    <font>
      <sz val="10"/>
      <color rgb="FF5D6878"/>
      <name val="Pretendard"/>
      <family val="0"/>
      <charset val="1"/>
    </font>
    <font>
      <sz val="10"/>
      <color rgb="FF1D2430"/>
      <name val="Pretendard"/>
      <family val="0"/>
      <charset val="1"/>
    </font>
    <font>
      <b val="true"/>
      <sz val="22"/>
      <color rgb="FF0F2A44"/>
      <name val="Pretendard"/>
      <family val="0"/>
      <charset val="1"/>
    </font>
    <font>
      <sz val="12"/>
      <color rgb="FF1D2430"/>
      <name val="Pretendard SemiBold"/>
      <family val="0"/>
      <charset val="1"/>
    </font>
    <font>
      <b val="true"/>
      <sz val="13"/>
      <color rgb="FF0F2A44"/>
      <name val="Pretendard"/>
      <family val="0"/>
      <charset val="1"/>
    </font>
    <font>
      <sz val="10"/>
      <color rgb="FF1D2430"/>
      <name val="Pretendard SemiBold"/>
      <family val="0"/>
      <charset val="1"/>
    </font>
    <font>
      <b val="true"/>
      <sz val="10"/>
      <color rgb="FF1D2430"/>
      <name val="Pretendard"/>
      <family val="0"/>
      <charset val="1"/>
    </font>
    <font>
      <b val="true"/>
      <sz val="13"/>
      <color rgb="FFFFFFFF"/>
      <name val="Pretendard"/>
      <family val="0"/>
      <charset val="1"/>
    </font>
    <font>
      <sz val="8"/>
      <color rgb="FF5D6878"/>
      <name val="Pretendard"/>
      <family val="0"/>
      <charset val="1"/>
    </font>
    <font>
      <b val="true"/>
      <sz val="16"/>
      <color rgb="FF0F2A44"/>
      <name val="Pretendard"/>
      <family val="0"/>
      <charset val="1"/>
    </font>
    <font>
      <sz val="9"/>
      <color rgb="FF5D6878"/>
      <name val="Pretendard"/>
      <family val="0"/>
      <charset val="1"/>
    </font>
    <font>
      <sz val="11"/>
      <color theme="1"/>
      <name val="WenQuanYi Zen Hei"/>
      <family val="2"/>
    </font>
    <font>
      <b val="true"/>
      <sz val="10"/>
      <color rgb="FFFFFFFF"/>
      <name val="Pretendard"/>
      <family val="0"/>
      <charset val="1"/>
    </font>
    <font>
      <b val="true"/>
      <sz val="14"/>
      <color rgb="FF0F2A44"/>
      <name val="Pretendard"/>
      <family val="0"/>
      <charset val="1"/>
    </font>
    <font>
      <b val="true"/>
      <sz val="11"/>
      <color rgb="FFFFFFFF"/>
      <name val="Pretendard"/>
      <family val="0"/>
      <charset val="1"/>
    </font>
    <font>
      <b val="true"/>
      <sz val="9"/>
      <color rgb="FF1D2430"/>
      <name val="Pretendard"/>
      <family val="0"/>
      <charset val="1"/>
    </font>
    <font>
      <sz val="9"/>
      <color rgb="FF0F2A44"/>
      <name val="Pretendard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4F6F9"/>
        <bgColor rgb="FFFFFFFF"/>
      </patternFill>
    </fill>
    <fill>
      <patternFill patternType="solid">
        <fgColor rgb="FF0F2A44"/>
        <bgColor rgb="FF1D2430"/>
      </patternFill>
    </fill>
    <fill>
      <patternFill patternType="solid">
        <fgColor rgb="FFE8742A"/>
        <bgColor rgb="FFFF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  <border diagonalUp="false" diagonalDown="false">
      <left/>
      <right/>
      <top style="medium">
        <color rgb="FF0F2A44"/>
      </top>
      <bottom style="medium">
        <color rgb="FF0F2A44"/>
      </bottom>
      <diagonal/>
    </border>
    <border diagonalUp="false" diagonalDown="false">
      <left style="thin">
        <color rgb="FFDDE3EA"/>
      </left>
      <right style="thin">
        <color rgb="FFDDE3EA"/>
      </right>
      <top style="medium">
        <color rgb="FF0F2A44"/>
      </top>
      <bottom style="thin">
        <color rgb="FFDDE3EA"/>
      </bottom>
      <diagonal/>
    </border>
    <border diagonalUp="false" diagonalDown="false"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 diagonalUp="false" diagonalDown="false">
      <left/>
      <right/>
      <top style="thin">
        <color rgb="FFDDE3E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9"/>
      <rgbColor rgb="FFCCFFFF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D6878"/>
      <rgbColor rgb="FF969696"/>
      <rgbColor rgb="FF0F2A44"/>
      <rgbColor rgb="FF339966"/>
      <rgbColor rgb="FF003300"/>
      <rgbColor rgb="FF333300"/>
      <rgbColor rgb="FF993300"/>
      <rgbColor rgb="FF993366"/>
      <rgbColor rgb="FF333399"/>
      <rgbColor rgb="FF1D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kmcca.or.kr/images/pegs/down_file/2026&#45380;%20&#49345;&#48152;&#44592;&#51201;&#50857;%20&#44148;&#49444;&#50629;%20&#51076;&#44552;&#49892;&#53468;&#51312;&#49324;%20&#48372;&#44256;&#49436;.pdf" TargetMode="External"/><Relationship Id="rId2" Type="http://schemas.openxmlformats.org/officeDocument/2006/relationships/hyperlink" Target="http://www.conslove.co.kr/news/articleView.html?idxno=89479" TargetMode="External"/><Relationship Id="rId3" Type="http://schemas.openxmlformats.org/officeDocument/2006/relationships/hyperlink" Target="https://www.kosca21.or.kr/km_board/upload/km_b_notice/1767346180_02.pdf" TargetMode="External"/><Relationship Id="rId4" Type="http://schemas.openxmlformats.org/officeDocument/2006/relationships/hyperlink" Target="https://biz.newdaily.co.kr/site/data/html/2026/05/07/2026050700116.html" TargetMode="External"/><Relationship Id="rId5" Type="http://schemas.openxmlformats.org/officeDocument/2006/relationships/hyperlink" Target="https://04noti.com/construction-cost-ratio-guide/" TargetMode="External"/><Relationship Id="rId6" Type="http://schemas.openxmlformats.org/officeDocument/2006/relationships/hyperlink" Target="https://calctools.co.kr/blog/daily-worker-insur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3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24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H1" s="2" t="s">
        <v>1</v>
      </c>
      <c r="I1" s="3" t="s">
        <v>2</v>
      </c>
    </row>
    <row r="2" customFormat="false" ht="19.5" hidden="false" customHeight="true" outlineLevel="0" collapsed="false">
      <c r="A2" s="4" t="s">
        <v>3</v>
      </c>
      <c r="B2" s="4"/>
      <c r="C2" s="4"/>
      <c r="D2" s="4"/>
      <c r="H2" s="2" t="s">
        <v>4</v>
      </c>
      <c r="I2" s="3" t="s">
        <v>5</v>
      </c>
    </row>
    <row r="3" customFormat="false" ht="19.5" hidden="false" customHeight="true" outlineLevel="0" collapsed="false">
      <c r="A3" s="4"/>
      <c r="B3" s="4"/>
      <c r="C3" s="4"/>
      <c r="D3" s="4"/>
    </row>
    <row r="4" customFormat="false" ht="7.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</row>
    <row r="5" customFormat="false" ht="21.75" hidden="false" customHeight="true" outlineLevel="0" collapsed="false">
      <c r="A5" s="6" t="s">
        <v>6</v>
      </c>
      <c r="F5" s="6" t="s">
        <v>7</v>
      </c>
    </row>
    <row r="6" customFormat="false" ht="30" hidden="false" customHeight="true" outlineLevel="0" collapsed="false">
      <c r="A6" s="7" t="s">
        <v>8</v>
      </c>
      <c r="B6" s="8" t="s">
        <v>9</v>
      </c>
      <c r="C6" s="8"/>
      <c r="D6" s="8"/>
      <c r="F6" s="7" t="s">
        <v>10</v>
      </c>
      <c r="G6" s="7"/>
      <c r="H6" s="8" t="s">
        <v>11</v>
      </c>
      <c r="I6" s="8"/>
    </row>
    <row r="7" customFormat="false" ht="19.5" hidden="false" customHeight="true" outlineLevel="0" collapsed="false">
      <c r="A7" s="7" t="s">
        <v>12</v>
      </c>
      <c r="B7" s="8"/>
      <c r="C7" s="8"/>
      <c r="D7" s="8"/>
      <c r="F7" s="7" t="s">
        <v>13</v>
      </c>
      <c r="G7" s="7"/>
      <c r="H7" s="8" t="s">
        <v>14</v>
      </c>
      <c r="I7" s="8"/>
    </row>
    <row r="8" customFormat="false" ht="30" hidden="false" customHeight="true" outlineLevel="0" collapsed="false">
      <c r="A8" s="7" t="s">
        <v>15</v>
      </c>
      <c r="B8" s="8"/>
      <c r="C8" s="8"/>
      <c r="D8" s="8"/>
      <c r="F8" s="7" t="s">
        <v>16</v>
      </c>
      <c r="G8" s="7"/>
      <c r="H8" s="8" t="s">
        <v>17</v>
      </c>
      <c r="I8" s="8"/>
    </row>
    <row r="9" customFormat="false" ht="30" hidden="false" customHeight="true" outlineLevel="0" collapsed="false">
      <c r="A9" s="7" t="s">
        <v>18</v>
      </c>
      <c r="B9" s="8" t="s">
        <v>19</v>
      </c>
      <c r="C9" s="8"/>
      <c r="D9" s="8"/>
      <c r="F9" s="7" t="s">
        <v>20</v>
      </c>
      <c r="G9" s="7"/>
      <c r="H9" s="8" t="s">
        <v>21</v>
      </c>
      <c r="I9" s="8"/>
    </row>
    <row r="10" customFormat="false" ht="30" hidden="false" customHeight="true" outlineLevel="0" collapsed="false">
      <c r="A10" s="7" t="s">
        <v>22</v>
      </c>
      <c r="B10" s="8" t="s">
        <v>23</v>
      </c>
      <c r="C10" s="8"/>
      <c r="D10" s="8"/>
      <c r="F10" s="7" t="s">
        <v>24</v>
      </c>
      <c r="G10" s="7"/>
      <c r="H10" s="8" t="s">
        <v>25</v>
      </c>
      <c r="I10" s="8"/>
    </row>
    <row r="11" customFormat="false" ht="19.5" hidden="false" customHeight="true" outlineLevel="0" collapsed="false">
      <c r="A11" s="7"/>
      <c r="B11" s="8"/>
      <c r="C11" s="8"/>
      <c r="D11" s="8"/>
      <c r="F11" s="7" t="s">
        <v>26</v>
      </c>
      <c r="G11" s="7"/>
      <c r="H11" s="8"/>
      <c r="I11" s="8"/>
    </row>
    <row r="13" customFormat="false" ht="36" hidden="false" customHeight="true" outlineLevel="0" collapsed="false">
      <c r="A13" s="9" t="s">
        <v>27</v>
      </c>
      <c r="B13" s="9"/>
      <c r="C13" s="9"/>
      <c r="D13" s="9"/>
      <c r="E13" s="9"/>
      <c r="F13" s="9"/>
      <c r="G13" s="9"/>
      <c r="H13" s="9"/>
      <c r="I13" s="9"/>
    </row>
    <row r="15" customFormat="false" ht="21.75" hidden="false" customHeight="true" outlineLevel="0" collapsed="false">
      <c r="A15" s="6" t="s">
        <v>28</v>
      </c>
    </row>
    <row r="16" customFormat="false" ht="21.75" hidden="false" customHeight="true" outlineLevel="0" collapsed="false">
      <c r="A16" s="10" t="s">
        <v>29</v>
      </c>
      <c r="B16" s="10" t="s">
        <v>30</v>
      </c>
      <c r="C16" s="10"/>
      <c r="D16" s="10" t="s">
        <v>31</v>
      </c>
      <c r="E16" s="10" t="s">
        <v>32</v>
      </c>
      <c r="F16" s="10" t="s">
        <v>33</v>
      </c>
      <c r="G16" s="10" t="s">
        <v>34</v>
      </c>
      <c r="H16" s="10" t="s">
        <v>35</v>
      </c>
      <c r="I16" s="10" t="s">
        <v>36</v>
      </c>
    </row>
    <row r="17" customFormat="false" ht="19.5" hidden="false" customHeight="true" outlineLevel="0" collapsed="false">
      <c r="A17" s="11"/>
      <c r="B17" s="12" t="s">
        <v>37</v>
      </c>
      <c r="C17" s="12"/>
      <c r="D17" s="12"/>
      <c r="E17" s="12"/>
      <c r="F17" s="12"/>
      <c r="G17" s="12"/>
      <c r="H17" s="12"/>
      <c r="I17" s="12"/>
    </row>
    <row r="18" customFormat="false" ht="19.5" hidden="false" customHeight="true" outlineLevel="0" collapsed="false">
      <c r="A18" s="11" t="n">
        <v>1</v>
      </c>
      <c r="B18" s="13" t="s">
        <v>38</v>
      </c>
      <c r="C18" s="13"/>
      <c r="D18" s="13" t="s">
        <v>39</v>
      </c>
      <c r="E18" s="14" t="n">
        <f aca="false">도비!E8</f>
        <v>15</v>
      </c>
      <c r="F18" s="11" t="str">
        <f aca="false">도비!D8</f>
        <v>인·일</v>
      </c>
      <c r="G18" s="14" t="n">
        <f aca="false">도비!F8</f>
        <v>300000</v>
      </c>
      <c r="H18" s="14" t="n">
        <f aca="false">도비!G8</f>
        <v>4500000</v>
      </c>
      <c r="I18" s="13" t="s">
        <v>40</v>
      </c>
    </row>
    <row r="19" customFormat="false" ht="19.5" hidden="false" customHeight="true" outlineLevel="0" collapsed="false">
      <c r="A19" s="11" t="n">
        <v>2</v>
      </c>
      <c r="B19" s="13" t="s">
        <v>41</v>
      </c>
      <c r="C19" s="13"/>
      <c r="D19" s="13" t="s">
        <v>42</v>
      </c>
      <c r="E19" s="14" t="n">
        <f aca="false">도비!E9</f>
        <v>2</v>
      </c>
      <c r="F19" s="11" t="str">
        <f aca="false">도비!D9</f>
        <v>인·일</v>
      </c>
      <c r="G19" s="14" t="n">
        <f aca="false">도비!F9</f>
        <v>260000</v>
      </c>
      <c r="H19" s="14" t="n">
        <f aca="false">도비!G9</f>
        <v>520000</v>
      </c>
      <c r="I19" s="13" t="s">
        <v>43</v>
      </c>
    </row>
    <row r="20" customFormat="false" ht="19.5" hidden="false" customHeight="true" outlineLevel="0" collapsed="false">
      <c r="A20" s="11" t="n">
        <v>3</v>
      </c>
      <c r="B20" s="13" t="s">
        <v>44</v>
      </c>
      <c r="C20" s="13"/>
      <c r="D20" s="13" t="s">
        <v>45</v>
      </c>
      <c r="E20" s="14" t="n">
        <f aca="false">도비!E10</f>
        <v>3</v>
      </c>
      <c r="F20" s="11" t="str">
        <f aca="false">도비!D10</f>
        <v>인·일</v>
      </c>
      <c r="G20" s="14" t="n">
        <f aca="false">도비!F10</f>
        <v>320000</v>
      </c>
      <c r="H20" s="14" t="n">
        <f aca="false">도비!G10</f>
        <v>960000</v>
      </c>
      <c r="I20" s="13" t="s">
        <v>46</v>
      </c>
    </row>
    <row r="21" customFormat="false" ht="19.5" hidden="false" customHeight="true" outlineLevel="0" collapsed="false">
      <c r="A21" s="11" t="n">
        <v>4</v>
      </c>
      <c r="B21" s="13" t="s">
        <v>47</v>
      </c>
      <c r="C21" s="13"/>
      <c r="D21" s="13" t="s">
        <v>48</v>
      </c>
      <c r="E21" s="14" t="n">
        <f aca="false">도비!E11</f>
        <v>1</v>
      </c>
      <c r="F21" s="11" t="str">
        <f aca="false">도비!D11</f>
        <v>대·일</v>
      </c>
      <c r="G21" s="14" t="n">
        <f aca="false">도비!F11</f>
        <v>2400000</v>
      </c>
      <c r="H21" s="14" t="n">
        <f aca="false">도비!G11</f>
        <v>2400000</v>
      </c>
      <c r="I21" s="13" t="s">
        <v>49</v>
      </c>
    </row>
    <row r="22" customFormat="false" ht="19.5" hidden="false" customHeight="true" outlineLevel="0" collapsed="false">
      <c r="A22" s="11" t="n">
        <v>5</v>
      </c>
      <c r="B22" s="13" t="s">
        <v>47</v>
      </c>
      <c r="C22" s="13"/>
      <c r="D22" s="13" t="s">
        <v>50</v>
      </c>
      <c r="E22" s="14" t="n">
        <f aca="false">도비!E12</f>
        <v>1</v>
      </c>
      <c r="F22" s="11" t="str">
        <f aca="false">도비!D12</f>
        <v>대·일</v>
      </c>
      <c r="G22" s="14" t="n">
        <f aca="false">도비!F12</f>
        <v>1700000</v>
      </c>
      <c r="H22" s="14" t="n">
        <f aca="false">도비!G12</f>
        <v>1700000</v>
      </c>
      <c r="I22" s="13" t="s">
        <v>49</v>
      </c>
    </row>
    <row r="23" customFormat="false" ht="19.5" hidden="false" customHeight="true" outlineLevel="0" collapsed="false">
      <c r="A23" s="11" t="n">
        <v>6</v>
      </c>
      <c r="B23" s="13" t="s">
        <v>51</v>
      </c>
      <c r="C23" s="13"/>
      <c r="D23" s="13" t="s">
        <v>52</v>
      </c>
      <c r="E23" s="14" t="n">
        <f aca="false">도비!E13</f>
        <v>1</v>
      </c>
      <c r="F23" s="11" t="str">
        <f aca="false">도비!D13</f>
        <v>식</v>
      </c>
      <c r="G23" s="14" t="n">
        <f aca="false">도비!F13</f>
        <v>640000</v>
      </c>
      <c r="H23" s="14" t="n">
        <f aca="false">도비!G13</f>
        <v>640000</v>
      </c>
      <c r="I23" s="13" t="s">
        <v>53</v>
      </c>
    </row>
    <row r="24" customFormat="false" ht="19.5" hidden="false" customHeight="true" outlineLevel="0" collapsed="false">
      <c r="A24" s="11" t="n">
        <v>7</v>
      </c>
      <c r="B24" s="13" t="s">
        <v>54</v>
      </c>
      <c r="C24" s="13"/>
      <c r="D24" s="13" t="s">
        <v>55</v>
      </c>
      <c r="E24" s="14" t="n">
        <f aca="false">도비!E14</f>
        <v>1</v>
      </c>
      <c r="F24" s="11" t="str">
        <f aca="false">도비!D14</f>
        <v>SET</v>
      </c>
      <c r="G24" s="14" t="n">
        <f aca="false">도비!F14</f>
        <v>2000000</v>
      </c>
      <c r="H24" s="14" t="n">
        <f aca="false">도비!G14</f>
        <v>2000000</v>
      </c>
      <c r="I24" s="13" t="s">
        <v>56</v>
      </c>
    </row>
    <row r="25" customFormat="false" ht="19.5" hidden="false" customHeight="true" outlineLevel="0" collapsed="false">
      <c r="A25" s="11" t="n">
        <v>8</v>
      </c>
      <c r="B25" s="13" t="s">
        <v>57</v>
      </c>
      <c r="C25" s="13"/>
      <c r="D25" s="13" t="s">
        <v>58</v>
      </c>
      <c r="E25" s="14" t="n">
        <f aca="false">도비!E15</f>
        <v>1</v>
      </c>
      <c r="F25" s="11" t="str">
        <f aca="false">도비!D15</f>
        <v>SET</v>
      </c>
      <c r="G25" s="14" t="n">
        <f aca="false">도비!F15</f>
        <v>3000000</v>
      </c>
      <c r="H25" s="14" t="n">
        <f aca="false">도비!G15</f>
        <v>3000000</v>
      </c>
      <c r="I25" s="13"/>
    </row>
    <row r="26" customFormat="false" ht="19.5" hidden="false" customHeight="true" outlineLevel="0" collapsed="false">
      <c r="A26" s="11" t="n">
        <v>9</v>
      </c>
      <c r="B26" s="13" t="s">
        <v>59</v>
      </c>
      <c r="C26" s="13"/>
      <c r="D26" s="13" t="s">
        <v>60</v>
      </c>
      <c r="E26" s="14" t="n">
        <f aca="false">도비!E16</f>
        <v>1</v>
      </c>
      <c r="F26" s="11" t="str">
        <f aca="false">도비!D16</f>
        <v>식</v>
      </c>
      <c r="G26" s="14" t="n">
        <f aca="false">도비!F16</f>
        <v>1000000</v>
      </c>
      <c r="H26" s="14" t="n">
        <f aca="false">도비!G16</f>
        <v>1000000</v>
      </c>
      <c r="I26" s="13"/>
    </row>
    <row r="27" customFormat="false" ht="19.5" hidden="false" customHeight="true" outlineLevel="0" collapsed="false">
      <c r="A27" s="11" t="n">
        <v>10</v>
      </c>
      <c r="B27" s="13" t="s">
        <v>61</v>
      </c>
      <c r="C27" s="13"/>
      <c r="D27" s="13" t="s">
        <v>62</v>
      </c>
      <c r="E27" s="14" t="n">
        <f aca="false">도비!E17</f>
        <v>242</v>
      </c>
      <c r="F27" s="11" t="str">
        <f aca="false">도비!D17</f>
        <v>매·일</v>
      </c>
      <c r="G27" s="14" t="n">
        <f aca="false">도비!F17</f>
        <v>5000</v>
      </c>
      <c r="H27" s="14" t="n">
        <f aca="false">도비!G17</f>
        <v>1210000</v>
      </c>
      <c r="I27" s="13" t="s">
        <v>63</v>
      </c>
    </row>
    <row r="28" customFormat="false" ht="19.5" hidden="false" customHeight="true" outlineLevel="0" collapsed="false">
      <c r="A28" s="11" t="n">
        <v>11</v>
      </c>
      <c r="B28" s="13" t="s">
        <v>64</v>
      </c>
      <c r="C28" s="13"/>
      <c r="D28" s="13" t="s">
        <v>65</v>
      </c>
      <c r="E28" s="14" t="n">
        <f aca="false">도비!E18</f>
        <v>2</v>
      </c>
      <c r="F28" s="11" t="str">
        <f aca="false">도비!D18</f>
        <v>인·일</v>
      </c>
      <c r="G28" s="14" t="n">
        <f aca="false">도비!F18</f>
        <v>250000</v>
      </c>
      <c r="H28" s="14" t="n">
        <f aca="false">도비!G18</f>
        <v>500000</v>
      </c>
      <c r="I28" s="13" t="s">
        <v>66</v>
      </c>
    </row>
    <row r="29" customFormat="false" ht="19.5" hidden="false" customHeight="true" outlineLevel="0" collapsed="false">
      <c r="A29" s="11" t="n">
        <v>12</v>
      </c>
      <c r="B29" s="13" t="s">
        <v>67</v>
      </c>
      <c r="C29" s="13"/>
      <c r="D29" s="13" t="s">
        <v>68</v>
      </c>
      <c r="E29" s="14" t="n">
        <f aca="false">도비!E19</f>
        <v>2</v>
      </c>
      <c r="F29" s="11" t="str">
        <f aca="false">도비!D19</f>
        <v>회</v>
      </c>
      <c r="G29" s="14" t="n">
        <f aca="false">도비!F19</f>
        <v>260000</v>
      </c>
      <c r="H29" s="14" t="n">
        <f aca="false">도비!G19</f>
        <v>520000</v>
      </c>
      <c r="I29" s="13" t="s">
        <v>69</v>
      </c>
    </row>
    <row r="30" customFormat="false" ht="19.5" hidden="false" customHeight="true" outlineLevel="0" collapsed="false">
      <c r="A30" s="11" t="n">
        <v>13</v>
      </c>
      <c r="B30" s="13" t="s">
        <v>70</v>
      </c>
      <c r="C30" s="13"/>
      <c r="D30" s="13"/>
      <c r="E30" s="14" t="n">
        <f aca="false">도비!E20</f>
        <v>1</v>
      </c>
      <c r="F30" s="11" t="str">
        <f aca="false">도비!D20</f>
        <v>식</v>
      </c>
      <c r="G30" s="14" t="n">
        <f aca="false">도비!F20</f>
        <v>380000</v>
      </c>
      <c r="H30" s="14" t="n">
        <f aca="false">도비!G20</f>
        <v>380000</v>
      </c>
      <c r="I30" s="13"/>
    </row>
    <row r="31" customFormat="false" ht="19.5" hidden="false" customHeight="true" outlineLevel="0" collapsed="false">
      <c r="A31" s="11" t="n">
        <v>14</v>
      </c>
      <c r="B31" s="13" t="s">
        <v>71</v>
      </c>
      <c r="C31" s="13"/>
      <c r="D31" s="13" t="s">
        <v>72</v>
      </c>
      <c r="E31" s="14" t="n">
        <f aca="false">도비!E21</f>
        <v>1</v>
      </c>
      <c r="F31" s="11" t="str">
        <f aca="false">도비!D21</f>
        <v>식</v>
      </c>
      <c r="G31" s="14" t="n">
        <f aca="false">도비!F21</f>
        <v>600000</v>
      </c>
      <c r="H31" s="14" t="n">
        <f aca="false">도비!G21</f>
        <v>600000</v>
      </c>
      <c r="I31" s="13"/>
    </row>
    <row r="32" customFormat="false" ht="19.5" hidden="false" customHeight="true" outlineLevel="0" collapsed="false">
      <c r="A32" s="11" t="n">
        <v>15</v>
      </c>
      <c r="B32" s="13" t="s">
        <v>73</v>
      </c>
      <c r="C32" s="13"/>
      <c r="D32" s="13" t="s">
        <v>74</v>
      </c>
      <c r="E32" s="14" t="n">
        <v>1</v>
      </c>
      <c r="F32" s="11" t="s">
        <v>75</v>
      </c>
      <c r="G32" s="14" t="n">
        <f aca="false">H32</f>
        <v>4592000</v>
      </c>
      <c r="H32" s="14" t="n">
        <f aca="false">도비!$G$32-도비!$G$22-도비!$G$23-도비!$G$24</f>
        <v>4592000</v>
      </c>
      <c r="I32" s="13" t="s">
        <v>76</v>
      </c>
    </row>
    <row r="33" customFormat="false" ht="19.5" hidden="false" customHeight="true" outlineLevel="0" collapsed="false">
      <c r="A33" s="15" t="s">
        <v>77</v>
      </c>
      <c r="B33" s="15"/>
      <c r="C33" s="15"/>
      <c r="D33" s="15"/>
      <c r="E33" s="15"/>
      <c r="F33" s="15"/>
      <c r="G33" s="15"/>
      <c r="H33" s="16" t="n">
        <f aca="false">도비!$G$32</f>
        <v>24522000</v>
      </c>
      <c r="I33" s="17" t="s">
        <v>78</v>
      </c>
    </row>
    <row r="34" customFormat="false" ht="19.5" hidden="false" customHeight="true" outlineLevel="0" collapsed="false">
      <c r="A34" s="11"/>
      <c r="B34" s="12" t="s">
        <v>79</v>
      </c>
      <c r="C34" s="12"/>
      <c r="D34" s="12"/>
      <c r="E34" s="12"/>
      <c r="F34" s="12"/>
      <c r="G34" s="12"/>
      <c r="H34" s="12"/>
      <c r="I34" s="12"/>
    </row>
    <row r="35" customFormat="false" ht="19.5" hidden="false" customHeight="true" outlineLevel="0" collapsed="false">
      <c r="A35" s="11" t="n">
        <v>16</v>
      </c>
      <c r="B35" s="13" t="s">
        <v>80</v>
      </c>
      <c r="C35" s="13"/>
      <c r="D35" s="13" t="s">
        <v>81</v>
      </c>
      <c r="E35" s="14" t="n">
        <f aca="false">용접!E8</f>
        <v>9</v>
      </c>
      <c r="F35" s="11" t="str">
        <f aca="false">용접!D8</f>
        <v>인·일</v>
      </c>
      <c r="G35" s="14" t="n">
        <f aca="false">용접!F8</f>
        <v>500000</v>
      </c>
      <c r="H35" s="14" t="n">
        <f aca="false">용접!G8</f>
        <v>4500000</v>
      </c>
      <c r="I35" s="13" t="s">
        <v>82</v>
      </c>
    </row>
    <row r="36" customFormat="false" ht="19.5" hidden="false" customHeight="true" outlineLevel="0" collapsed="false">
      <c r="A36" s="11" t="n">
        <v>17</v>
      </c>
      <c r="B36" s="13" t="s">
        <v>83</v>
      </c>
      <c r="C36" s="13"/>
      <c r="D36" s="13" t="s">
        <v>84</v>
      </c>
      <c r="E36" s="14" t="n">
        <f aca="false">용접!E9</f>
        <v>6</v>
      </c>
      <c r="F36" s="11" t="str">
        <f aca="false">용접!D9</f>
        <v>인·일</v>
      </c>
      <c r="G36" s="14" t="n">
        <f aca="false">용접!F9</f>
        <v>350000</v>
      </c>
      <c r="H36" s="14" t="n">
        <f aca="false">용접!G9</f>
        <v>2100000</v>
      </c>
      <c r="I36" s="13" t="s">
        <v>85</v>
      </c>
    </row>
    <row r="37" customFormat="false" ht="19.5" hidden="false" customHeight="true" outlineLevel="0" collapsed="false">
      <c r="A37" s="11" t="n">
        <v>18</v>
      </c>
      <c r="B37" s="13" t="s">
        <v>86</v>
      </c>
      <c r="C37" s="13"/>
      <c r="D37" s="13" t="s">
        <v>87</v>
      </c>
      <c r="E37" s="14" t="n">
        <f aca="false">용접!E10</f>
        <v>4</v>
      </c>
      <c r="F37" s="11" t="str">
        <f aca="false">용접!D10</f>
        <v>인·일</v>
      </c>
      <c r="G37" s="14" t="n">
        <f aca="false">용접!F10</f>
        <v>300000</v>
      </c>
      <c r="H37" s="14" t="n">
        <f aca="false">용접!G10</f>
        <v>1200000</v>
      </c>
      <c r="I37" s="13" t="s">
        <v>88</v>
      </c>
    </row>
    <row r="38" customFormat="false" ht="19.5" hidden="false" customHeight="true" outlineLevel="0" collapsed="false">
      <c r="A38" s="11" t="n">
        <v>19</v>
      </c>
      <c r="B38" s="13" t="s">
        <v>89</v>
      </c>
      <c r="C38" s="13"/>
      <c r="D38" s="13" t="s">
        <v>90</v>
      </c>
      <c r="E38" s="14" t="n">
        <f aca="false">용접!E11</f>
        <v>4</v>
      </c>
      <c r="F38" s="11" t="str">
        <f aca="false">용접!D11</f>
        <v>인·일</v>
      </c>
      <c r="G38" s="14" t="n">
        <f aca="false">용접!F11</f>
        <v>200000</v>
      </c>
      <c r="H38" s="14" t="n">
        <f aca="false">용접!G11</f>
        <v>800000</v>
      </c>
      <c r="I38" s="13" t="s">
        <v>88</v>
      </c>
    </row>
    <row r="39" customFormat="false" ht="19.5" hidden="false" customHeight="true" outlineLevel="0" collapsed="false">
      <c r="A39" s="11" t="n">
        <v>20</v>
      </c>
      <c r="B39" s="13" t="s">
        <v>91</v>
      </c>
      <c r="C39" s="13"/>
      <c r="D39" s="13" t="s">
        <v>92</v>
      </c>
      <c r="E39" s="14" t="n">
        <f aca="false">용접!E12</f>
        <v>5</v>
      </c>
      <c r="F39" s="11" t="str">
        <f aca="false">용접!D12</f>
        <v>인·일</v>
      </c>
      <c r="G39" s="14" t="n">
        <f aca="false">용접!F12</f>
        <v>250000</v>
      </c>
      <c r="H39" s="14" t="n">
        <f aca="false">용접!G12</f>
        <v>1250000</v>
      </c>
      <c r="I39" s="13" t="s">
        <v>93</v>
      </c>
    </row>
    <row r="40" customFormat="false" ht="19.5" hidden="false" customHeight="true" outlineLevel="0" collapsed="false">
      <c r="A40" s="11" t="n">
        <v>21</v>
      </c>
      <c r="B40" s="13" t="s">
        <v>94</v>
      </c>
      <c r="C40" s="13"/>
      <c r="D40" s="13" t="s">
        <v>95</v>
      </c>
      <c r="E40" s="14" t="n">
        <f aca="false">용접!E13</f>
        <v>9</v>
      </c>
      <c r="F40" s="11" t="str">
        <f aca="false">용접!D13</f>
        <v>대·일</v>
      </c>
      <c r="G40" s="14" t="n">
        <f aca="false">용접!F13</f>
        <v>400000</v>
      </c>
      <c r="H40" s="14" t="n">
        <f aca="false">용접!G13</f>
        <v>3600000</v>
      </c>
      <c r="I40" s="13" t="s">
        <v>96</v>
      </c>
    </row>
    <row r="41" customFormat="false" ht="19.5" hidden="false" customHeight="true" outlineLevel="0" collapsed="false">
      <c r="A41" s="11" t="n">
        <v>22</v>
      </c>
      <c r="B41" s="13" t="s">
        <v>97</v>
      </c>
      <c r="C41" s="13"/>
      <c r="D41" s="13" t="s">
        <v>98</v>
      </c>
      <c r="E41" s="14" t="n">
        <f aca="false">용접!E14</f>
        <v>1</v>
      </c>
      <c r="F41" s="11" t="str">
        <f aca="false">용접!D14</f>
        <v>SET</v>
      </c>
      <c r="G41" s="14" t="n">
        <f aca="false">용접!F14</f>
        <v>800000</v>
      </c>
      <c r="H41" s="14" t="n">
        <f aca="false">용접!G14</f>
        <v>800000</v>
      </c>
      <c r="I41" s="13"/>
    </row>
    <row r="42" customFormat="false" ht="19.5" hidden="false" customHeight="true" outlineLevel="0" collapsed="false">
      <c r="A42" s="11" t="n">
        <v>23</v>
      </c>
      <c r="B42" s="13" t="s">
        <v>99</v>
      </c>
      <c r="C42" s="13"/>
      <c r="D42" s="13" t="s">
        <v>100</v>
      </c>
      <c r="E42" s="14" t="n">
        <f aca="false">용접!E15</f>
        <v>1</v>
      </c>
      <c r="F42" s="11" t="str">
        <f aca="false">용접!D15</f>
        <v>식</v>
      </c>
      <c r="G42" s="14" t="n">
        <f aca="false">용접!F15</f>
        <v>3680000</v>
      </c>
      <c r="H42" s="14" t="n">
        <f aca="false">용접!G15</f>
        <v>3680000</v>
      </c>
      <c r="I42" s="13"/>
    </row>
    <row r="43" customFormat="false" ht="19.5" hidden="false" customHeight="true" outlineLevel="0" collapsed="false">
      <c r="A43" s="11" t="n">
        <v>24</v>
      </c>
      <c r="B43" s="13" t="s">
        <v>101</v>
      </c>
      <c r="C43" s="13"/>
      <c r="D43" s="13"/>
      <c r="E43" s="14" t="n">
        <f aca="false">용접!E16</f>
        <v>1</v>
      </c>
      <c r="F43" s="11" t="str">
        <f aca="false">용접!D16</f>
        <v>식</v>
      </c>
      <c r="G43" s="14" t="n">
        <f aca="false">용접!F16</f>
        <v>1000000</v>
      </c>
      <c r="H43" s="14" t="n">
        <f aca="false">용접!G16</f>
        <v>1000000</v>
      </c>
      <c r="I43" s="13"/>
    </row>
    <row r="44" customFormat="false" ht="19.5" hidden="false" customHeight="true" outlineLevel="0" collapsed="false">
      <c r="A44" s="11" t="n">
        <v>25</v>
      </c>
      <c r="B44" s="13" t="s">
        <v>102</v>
      </c>
      <c r="C44" s="13"/>
      <c r="D44" s="13" t="s">
        <v>103</v>
      </c>
      <c r="E44" s="14" t="n">
        <f aca="false">용접!E17</f>
        <v>22</v>
      </c>
      <c r="F44" s="11" t="str">
        <f aca="false">용접!D17</f>
        <v>대·일</v>
      </c>
      <c r="G44" s="14" t="n">
        <f aca="false">용접!F17</f>
        <v>100000</v>
      </c>
      <c r="H44" s="14" t="n">
        <f aca="false">용접!G17</f>
        <v>2200000</v>
      </c>
      <c r="I44" s="13" t="s">
        <v>104</v>
      </c>
    </row>
    <row r="45" customFormat="false" ht="19.5" hidden="false" customHeight="true" outlineLevel="0" collapsed="false">
      <c r="A45" s="11" t="n">
        <v>26</v>
      </c>
      <c r="B45" s="13" t="s">
        <v>71</v>
      </c>
      <c r="C45" s="13"/>
      <c r="D45" s="13" t="s">
        <v>105</v>
      </c>
      <c r="E45" s="14" t="n">
        <f aca="false">용접!E18</f>
        <v>1</v>
      </c>
      <c r="F45" s="11" t="str">
        <f aca="false">용접!D18</f>
        <v>식</v>
      </c>
      <c r="G45" s="14" t="n">
        <f aca="false">용접!F18</f>
        <v>1400000</v>
      </c>
      <c r="H45" s="14" t="n">
        <f aca="false">용접!G18</f>
        <v>1400000</v>
      </c>
      <c r="I45" s="13" t="s">
        <v>106</v>
      </c>
    </row>
    <row r="46" customFormat="false" ht="19.5" hidden="false" customHeight="true" outlineLevel="0" collapsed="false">
      <c r="A46" s="11" t="n">
        <v>27</v>
      </c>
      <c r="B46" s="13" t="s">
        <v>73</v>
      </c>
      <c r="C46" s="13"/>
      <c r="D46" s="13" t="s">
        <v>74</v>
      </c>
      <c r="E46" s="14" t="n">
        <v>1</v>
      </c>
      <c r="F46" s="11" t="s">
        <v>75</v>
      </c>
      <c r="G46" s="14" t="n">
        <f aca="false">H46</f>
        <v>5191000</v>
      </c>
      <c r="H46" s="14" t="n">
        <f aca="false">용접!$G$29-용접!$G$19-용접!$G$20-용접!$G$21</f>
        <v>5191000</v>
      </c>
      <c r="I46" s="13" t="s">
        <v>76</v>
      </c>
    </row>
    <row r="47" customFormat="false" ht="19.5" hidden="false" customHeight="true" outlineLevel="0" collapsed="false">
      <c r="A47" s="15" t="s">
        <v>107</v>
      </c>
      <c r="B47" s="15"/>
      <c r="C47" s="15"/>
      <c r="D47" s="15"/>
      <c r="E47" s="15"/>
      <c r="F47" s="15"/>
      <c r="G47" s="15"/>
      <c r="H47" s="16" t="n">
        <f aca="false">용접!$G$29</f>
        <v>27721000</v>
      </c>
      <c r="I47" s="17" t="s">
        <v>108</v>
      </c>
    </row>
    <row r="48" customFormat="false" ht="19.5" hidden="false" customHeight="true" outlineLevel="0" collapsed="false">
      <c r="A48" s="11"/>
      <c r="B48" s="12" t="s">
        <v>109</v>
      </c>
      <c r="C48" s="12"/>
      <c r="D48" s="12"/>
      <c r="E48" s="12"/>
      <c r="F48" s="12"/>
      <c r="G48" s="12"/>
      <c r="H48" s="12"/>
      <c r="I48" s="12"/>
    </row>
    <row r="49" customFormat="false" ht="19.5" hidden="false" customHeight="true" outlineLevel="0" collapsed="false">
      <c r="A49" s="11" t="n">
        <v>28</v>
      </c>
      <c r="B49" s="13" t="s">
        <v>110</v>
      </c>
      <c r="C49" s="13"/>
      <c r="D49" s="13" t="s">
        <v>111</v>
      </c>
      <c r="E49" s="14" t="n">
        <f aca="false">베이스!E8</f>
        <v>9991</v>
      </c>
      <c r="F49" s="11" t="str">
        <f aca="false">베이스!D8</f>
        <v>kg</v>
      </c>
      <c r="G49" s="14" t="n">
        <f aca="false">베이스!F8</f>
        <v>700</v>
      </c>
      <c r="H49" s="14" t="n">
        <f aca="false">베이스!G8</f>
        <v>6993700</v>
      </c>
      <c r="I49" s="13" t="s">
        <v>112</v>
      </c>
    </row>
    <row r="50" customFormat="false" ht="19.5" hidden="false" customHeight="true" outlineLevel="0" collapsed="false">
      <c r="A50" s="11" t="n">
        <v>29</v>
      </c>
      <c r="B50" s="13" t="s">
        <v>113</v>
      </c>
      <c r="C50" s="13"/>
      <c r="D50" s="13"/>
      <c r="E50" s="14" t="n">
        <f aca="false">베이스!E9</f>
        <v>1</v>
      </c>
      <c r="F50" s="11" t="str">
        <f aca="false">베이스!D9</f>
        <v>식</v>
      </c>
      <c r="G50" s="14" t="n">
        <f aca="false">베이스!F9</f>
        <v>160000</v>
      </c>
      <c r="H50" s="14" t="n">
        <f aca="false">베이스!G9</f>
        <v>160000</v>
      </c>
      <c r="I50" s="13"/>
    </row>
    <row r="51" customFormat="false" ht="19.5" hidden="false" customHeight="true" outlineLevel="0" collapsed="false">
      <c r="A51" s="11" t="n">
        <v>30</v>
      </c>
      <c r="B51" s="13" t="s">
        <v>114</v>
      </c>
      <c r="C51" s="13"/>
      <c r="D51" s="13"/>
      <c r="E51" s="14" t="n">
        <f aca="false">베이스!E10</f>
        <v>1</v>
      </c>
      <c r="F51" s="11" t="str">
        <f aca="false">베이스!D10</f>
        <v>식</v>
      </c>
      <c r="G51" s="14" t="n">
        <f aca="false">베이스!F10</f>
        <v>160000</v>
      </c>
      <c r="H51" s="14" t="n">
        <f aca="false">베이스!G10</f>
        <v>160000</v>
      </c>
      <c r="I51" s="13" t="s">
        <v>115</v>
      </c>
    </row>
    <row r="52" customFormat="false" ht="19.5" hidden="false" customHeight="true" outlineLevel="0" collapsed="false">
      <c r="A52" s="11" t="n">
        <v>31</v>
      </c>
      <c r="B52" s="13" t="s">
        <v>99</v>
      </c>
      <c r="C52" s="13"/>
      <c r="D52" s="13" t="s">
        <v>116</v>
      </c>
      <c r="E52" s="14" t="n">
        <f aca="false">베이스!E11</f>
        <v>1</v>
      </c>
      <c r="F52" s="11" t="str">
        <f aca="false">베이스!D11</f>
        <v>식</v>
      </c>
      <c r="G52" s="14" t="n">
        <f aca="false">베이스!F11</f>
        <v>1000000</v>
      </c>
      <c r="H52" s="14" t="n">
        <f aca="false">베이스!G11</f>
        <v>1000000</v>
      </c>
      <c r="I52" s="13"/>
    </row>
    <row r="53" customFormat="false" ht="19.5" hidden="false" customHeight="true" outlineLevel="0" collapsed="false">
      <c r="A53" s="11" t="n">
        <v>32</v>
      </c>
      <c r="B53" s="13" t="s">
        <v>117</v>
      </c>
      <c r="C53" s="13"/>
      <c r="D53" s="13" t="s">
        <v>118</v>
      </c>
      <c r="E53" s="14" t="n">
        <f aca="false">베이스!E12</f>
        <v>1</v>
      </c>
      <c r="F53" s="11" t="str">
        <f aca="false">베이스!D12</f>
        <v>식</v>
      </c>
      <c r="G53" s="14" t="n">
        <f aca="false">베이스!F12</f>
        <v>420000</v>
      </c>
      <c r="H53" s="14" t="n">
        <f aca="false">베이스!G12</f>
        <v>420000</v>
      </c>
      <c r="I53" s="13" t="s">
        <v>119</v>
      </c>
    </row>
    <row r="54" customFormat="false" ht="19.5" hidden="false" customHeight="true" outlineLevel="0" collapsed="false">
      <c r="A54" s="11" t="n">
        <v>33</v>
      </c>
      <c r="B54" s="13" t="s">
        <v>120</v>
      </c>
      <c r="C54" s="13"/>
      <c r="D54" s="13" t="s">
        <v>121</v>
      </c>
      <c r="E54" s="14" t="n">
        <f aca="false">베이스!E13</f>
        <v>6</v>
      </c>
      <c r="F54" s="11" t="str">
        <f aca="false">베이스!D13</f>
        <v>인·일</v>
      </c>
      <c r="G54" s="14" t="n">
        <f aca="false">베이스!F13</f>
        <v>350000</v>
      </c>
      <c r="H54" s="14" t="n">
        <f aca="false">베이스!G13</f>
        <v>2100000</v>
      </c>
      <c r="I54" s="13" t="s">
        <v>85</v>
      </c>
    </row>
    <row r="55" customFormat="false" ht="19.5" hidden="false" customHeight="true" outlineLevel="0" collapsed="false">
      <c r="A55" s="11" t="n">
        <v>34</v>
      </c>
      <c r="B55" s="13" t="s">
        <v>80</v>
      </c>
      <c r="C55" s="13"/>
      <c r="D55" s="13" t="s">
        <v>122</v>
      </c>
      <c r="E55" s="14" t="n">
        <f aca="false">베이스!E14</f>
        <v>3</v>
      </c>
      <c r="F55" s="11" t="str">
        <f aca="false">베이스!D14</f>
        <v>인·일</v>
      </c>
      <c r="G55" s="14" t="n">
        <f aca="false">베이스!F14</f>
        <v>500000</v>
      </c>
      <c r="H55" s="14" t="n">
        <f aca="false">베이스!G14</f>
        <v>1500000</v>
      </c>
      <c r="I55" s="13" t="s">
        <v>46</v>
      </c>
    </row>
    <row r="56" customFormat="false" ht="19.5" hidden="false" customHeight="true" outlineLevel="0" collapsed="false">
      <c r="A56" s="11" t="n">
        <v>35</v>
      </c>
      <c r="B56" s="13" t="s">
        <v>89</v>
      </c>
      <c r="C56" s="13"/>
      <c r="D56" s="13" t="s">
        <v>123</v>
      </c>
      <c r="E56" s="14" t="n">
        <f aca="false">베이스!E15</f>
        <v>3</v>
      </c>
      <c r="F56" s="11" t="str">
        <f aca="false">베이스!D15</f>
        <v>인·일</v>
      </c>
      <c r="G56" s="14" t="n">
        <f aca="false">베이스!F15</f>
        <v>200000</v>
      </c>
      <c r="H56" s="14" t="n">
        <f aca="false">베이스!G15</f>
        <v>600000</v>
      </c>
      <c r="I56" s="13" t="s">
        <v>46</v>
      </c>
    </row>
    <row r="57" customFormat="false" ht="19.5" hidden="false" customHeight="true" outlineLevel="0" collapsed="false">
      <c r="A57" s="11" t="n">
        <v>36</v>
      </c>
      <c r="B57" s="13" t="s">
        <v>91</v>
      </c>
      <c r="C57" s="13"/>
      <c r="D57" s="13" t="s">
        <v>124</v>
      </c>
      <c r="E57" s="14" t="n">
        <f aca="false">베이스!E16</f>
        <v>3</v>
      </c>
      <c r="F57" s="11" t="str">
        <f aca="false">베이스!D16</f>
        <v>인·일</v>
      </c>
      <c r="G57" s="14" t="n">
        <f aca="false">베이스!F16</f>
        <v>250000</v>
      </c>
      <c r="H57" s="14" t="n">
        <f aca="false">베이스!G16</f>
        <v>750000</v>
      </c>
      <c r="I57" s="13" t="s">
        <v>46</v>
      </c>
    </row>
    <row r="58" customFormat="false" ht="19.5" hidden="false" customHeight="true" outlineLevel="0" collapsed="false">
      <c r="A58" s="11" t="n">
        <v>37</v>
      </c>
      <c r="B58" s="13" t="s">
        <v>125</v>
      </c>
      <c r="C58" s="13"/>
      <c r="D58" s="13" t="s">
        <v>126</v>
      </c>
      <c r="E58" s="14" t="n">
        <f aca="false">베이스!E17</f>
        <v>2</v>
      </c>
      <c r="F58" s="11" t="str">
        <f aca="false">베이스!D17</f>
        <v>일</v>
      </c>
      <c r="G58" s="14" t="n">
        <f aca="false">베이스!F17</f>
        <v>300000</v>
      </c>
      <c r="H58" s="14" t="n">
        <f aca="false">베이스!G17</f>
        <v>600000</v>
      </c>
      <c r="I58" s="13"/>
    </row>
    <row r="59" customFormat="false" ht="19.5" hidden="false" customHeight="true" outlineLevel="0" collapsed="false">
      <c r="A59" s="11" t="n">
        <v>38</v>
      </c>
      <c r="B59" s="13" t="s">
        <v>125</v>
      </c>
      <c r="C59" s="13"/>
      <c r="D59" s="13" t="s">
        <v>127</v>
      </c>
      <c r="E59" s="14" t="n">
        <f aca="false">베이스!E18</f>
        <v>1</v>
      </c>
      <c r="F59" s="11" t="str">
        <f aca="false">베이스!D18</f>
        <v>일</v>
      </c>
      <c r="G59" s="14" t="n">
        <f aca="false">베이스!F18</f>
        <v>300000</v>
      </c>
      <c r="H59" s="14" t="n">
        <f aca="false">베이스!G18</f>
        <v>300000</v>
      </c>
      <c r="I59" s="13"/>
    </row>
    <row r="60" customFormat="false" ht="19.5" hidden="false" customHeight="true" outlineLevel="0" collapsed="false">
      <c r="A60" s="11" t="n">
        <v>39</v>
      </c>
      <c r="B60" s="13" t="s">
        <v>94</v>
      </c>
      <c r="C60" s="13"/>
      <c r="D60" s="13" t="s">
        <v>95</v>
      </c>
      <c r="E60" s="14" t="n">
        <f aca="false">베이스!E19</f>
        <v>3</v>
      </c>
      <c r="F60" s="11" t="str">
        <f aca="false">베이스!D19</f>
        <v>대·일</v>
      </c>
      <c r="G60" s="14" t="n">
        <f aca="false">베이스!F19</f>
        <v>400000</v>
      </c>
      <c r="H60" s="14" t="n">
        <f aca="false">베이스!G19</f>
        <v>1200000</v>
      </c>
      <c r="I60" s="13" t="s">
        <v>128</v>
      </c>
    </row>
    <row r="61" customFormat="false" ht="19.5" hidden="false" customHeight="true" outlineLevel="0" collapsed="false">
      <c r="A61" s="11" t="n">
        <v>40</v>
      </c>
      <c r="B61" s="13" t="s">
        <v>71</v>
      </c>
      <c r="C61" s="13"/>
      <c r="D61" s="13" t="s">
        <v>105</v>
      </c>
      <c r="E61" s="14" t="n">
        <f aca="false">베이스!E20</f>
        <v>1</v>
      </c>
      <c r="F61" s="11" t="str">
        <f aca="false">베이스!D20</f>
        <v>식</v>
      </c>
      <c r="G61" s="14" t="n">
        <f aca="false">베이스!F20</f>
        <v>750000</v>
      </c>
      <c r="H61" s="14" t="n">
        <f aca="false">베이스!G20</f>
        <v>750000</v>
      </c>
      <c r="I61" s="13" t="s">
        <v>129</v>
      </c>
    </row>
    <row r="62" customFormat="false" ht="19.5" hidden="false" customHeight="true" outlineLevel="0" collapsed="false">
      <c r="A62" s="11" t="n">
        <v>41</v>
      </c>
      <c r="B62" s="13" t="s">
        <v>73</v>
      </c>
      <c r="C62" s="13"/>
      <c r="D62" s="13" t="s">
        <v>74</v>
      </c>
      <c r="E62" s="14" t="n">
        <v>1</v>
      </c>
      <c r="F62" s="11" t="s">
        <v>75</v>
      </c>
      <c r="G62" s="14" t="n">
        <f aca="false">H62</f>
        <v>2915300</v>
      </c>
      <c r="H62" s="14" t="n">
        <f aca="false">베이스!$G$31-베이스!$G$21-베이스!$G$22-베이스!$G$23</f>
        <v>2915300</v>
      </c>
      <c r="I62" s="13" t="s">
        <v>76</v>
      </c>
    </row>
    <row r="63" customFormat="false" ht="19.5" hidden="false" customHeight="true" outlineLevel="0" collapsed="false">
      <c r="A63" s="15" t="s">
        <v>130</v>
      </c>
      <c r="B63" s="15"/>
      <c r="C63" s="15"/>
      <c r="D63" s="15"/>
      <c r="E63" s="15"/>
      <c r="F63" s="15"/>
      <c r="G63" s="15"/>
      <c r="H63" s="16" t="n">
        <f aca="false">베이스!$G$31</f>
        <v>19449000</v>
      </c>
      <c r="I63" s="17" t="s">
        <v>131</v>
      </c>
    </row>
    <row r="64" customFormat="false" ht="19.5" hidden="false" customHeight="true" outlineLevel="0" collapsed="false">
      <c r="A64" s="18" t="s">
        <v>132</v>
      </c>
      <c r="B64" s="18"/>
      <c r="C64" s="18"/>
      <c r="D64" s="18"/>
      <c r="E64" s="18"/>
      <c r="F64" s="18"/>
      <c r="G64" s="18"/>
      <c r="H64" s="19" t="n">
        <f aca="false">H33+H47+H63</f>
        <v>71692000</v>
      </c>
      <c r="I64" s="20"/>
    </row>
    <row r="65" customFormat="false" ht="19.5" hidden="false" customHeight="true" outlineLevel="0" collapsed="false">
      <c r="A65" s="18" t="s">
        <v>133</v>
      </c>
      <c r="B65" s="18"/>
      <c r="C65" s="18"/>
      <c r="D65" s="18"/>
      <c r="E65" s="18"/>
      <c r="F65" s="18"/>
      <c r="G65" s="18"/>
      <c r="H65" s="19" t="n">
        <f aca="false">H64*0.1</f>
        <v>7169200</v>
      </c>
      <c r="I65" s="20"/>
    </row>
    <row r="66" customFormat="false" ht="25.5" hidden="false" customHeight="true" outlineLevel="0" collapsed="false">
      <c r="A66" s="21" t="s">
        <v>134</v>
      </c>
      <c r="B66" s="21"/>
      <c r="C66" s="21"/>
      <c r="D66" s="21"/>
      <c r="E66" s="21"/>
      <c r="F66" s="21"/>
      <c r="G66" s="21"/>
      <c r="H66" s="22" t="n">
        <f aca="false">H64+H65</f>
        <v>78861200</v>
      </c>
      <c r="I66" s="23"/>
    </row>
    <row r="68" customFormat="false" ht="21.75" hidden="false" customHeight="true" outlineLevel="0" collapsed="false">
      <c r="A68" s="6" t="s">
        <v>135</v>
      </c>
    </row>
    <row r="69" customFormat="false" ht="30" hidden="false" customHeight="true" outlineLevel="0" collapsed="false">
      <c r="A69" s="24" t="s">
        <v>136</v>
      </c>
      <c r="B69" s="24"/>
      <c r="C69" s="24"/>
      <c r="D69" s="24"/>
      <c r="E69" s="24"/>
      <c r="F69" s="24"/>
      <c r="G69" s="24"/>
      <c r="H69" s="24"/>
      <c r="I69" s="24"/>
    </row>
    <row r="70" customFormat="false" ht="19.5" hidden="false" customHeight="true" outlineLevel="0" collapsed="false">
      <c r="A70" s="24" t="s">
        <v>137</v>
      </c>
      <c r="B70" s="24"/>
      <c r="C70" s="24"/>
      <c r="D70" s="24"/>
      <c r="E70" s="24"/>
      <c r="F70" s="24"/>
      <c r="G70" s="24"/>
      <c r="H70" s="24"/>
      <c r="I70" s="24"/>
    </row>
    <row r="71" customFormat="false" ht="19.5" hidden="false" customHeight="true" outlineLevel="0" collapsed="false">
      <c r="A71" s="24" t="s">
        <v>138</v>
      </c>
      <c r="B71" s="24"/>
      <c r="C71" s="24"/>
      <c r="D71" s="24"/>
      <c r="E71" s="24"/>
      <c r="F71" s="24"/>
      <c r="G71" s="24"/>
      <c r="H71" s="24"/>
      <c r="I71" s="24"/>
    </row>
    <row r="72" customFormat="false" ht="30" hidden="false" customHeight="true" outlineLevel="0" collapsed="false">
      <c r="A72" s="24" t="s">
        <v>139</v>
      </c>
      <c r="B72" s="24"/>
      <c r="C72" s="24"/>
      <c r="D72" s="24"/>
      <c r="E72" s="24"/>
      <c r="F72" s="24"/>
      <c r="G72" s="24"/>
      <c r="H72" s="24"/>
      <c r="I72" s="24"/>
    </row>
    <row r="73" customFormat="false" ht="30" hidden="false" customHeight="true" outlineLevel="0" collapsed="false">
      <c r="A73" s="24" t="s">
        <v>140</v>
      </c>
      <c r="B73" s="24"/>
      <c r="C73" s="24"/>
      <c r="D73" s="24"/>
      <c r="E73" s="24"/>
      <c r="F73" s="24"/>
      <c r="G73" s="24"/>
      <c r="H73" s="24"/>
      <c r="I73" s="24"/>
    </row>
    <row r="74" customFormat="false" ht="19.5" hidden="false" customHeight="true" outlineLevel="0" collapsed="false">
      <c r="A74" s="24" t="s">
        <v>141</v>
      </c>
      <c r="B74" s="24"/>
      <c r="C74" s="24"/>
      <c r="D74" s="24"/>
      <c r="E74" s="24"/>
      <c r="F74" s="24"/>
      <c r="G74" s="24"/>
      <c r="H74" s="24"/>
      <c r="I74" s="24"/>
    </row>
    <row r="75" customFormat="false" ht="30" hidden="false" customHeight="true" outlineLevel="0" collapsed="false">
      <c r="A75" s="24" t="s">
        <v>142</v>
      </c>
      <c r="B75" s="24"/>
      <c r="C75" s="24"/>
      <c r="D75" s="24"/>
      <c r="E75" s="24"/>
      <c r="F75" s="24"/>
      <c r="G75" s="24"/>
      <c r="H75" s="24"/>
      <c r="I75" s="24"/>
    </row>
    <row r="76" customFormat="false" ht="19.5" hidden="false" customHeight="true" outlineLevel="0" collapsed="false">
      <c r="A76" s="24" t="s">
        <v>143</v>
      </c>
      <c r="B76" s="24"/>
      <c r="C76" s="24"/>
      <c r="D76" s="24"/>
      <c r="E76" s="24"/>
      <c r="F76" s="24"/>
      <c r="G76" s="24"/>
      <c r="H76" s="24"/>
      <c r="I76" s="24"/>
    </row>
    <row r="77" customFormat="false" ht="19.5" hidden="false" customHeight="true" outlineLevel="0" collapsed="false">
      <c r="A77" s="24" t="s">
        <v>144</v>
      </c>
      <c r="B77" s="24"/>
      <c r="C77" s="24"/>
      <c r="D77" s="24"/>
      <c r="E77" s="24"/>
      <c r="F77" s="24"/>
      <c r="G77" s="24"/>
      <c r="H77" s="24"/>
      <c r="I77" s="24"/>
    </row>
    <row r="79" customFormat="false" ht="21.75" hidden="false" customHeight="true" outlineLevel="0" collapsed="false">
      <c r="A79" s="25" t="s">
        <v>145</v>
      </c>
      <c r="B79" s="25"/>
      <c r="C79" s="25"/>
      <c r="D79" s="25"/>
      <c r="E79" s="25"/>
      <c r="F79" s="25"/>
      <c r="G79" s="25"/>
      <c r="H79" s="25"/>
      <c r="I79" s="25"/>
    </row>
    <row r="80" customFormat="false" ht="21.75" hidden="false" customHeight="true" outlineLevel="0" collapsed="false">
      <c r="A80" s="25" t="s">
        <v>146</v>
      </c>
      <c r="B80" s="25"/>
      <c r="C80" s="25"/>
      <c r="D80" s="25"/>
      <c r="E80" s="25"/>
      <c r="F80" s="25"/>
      <c r="G80" s="25"/>
      <c r="H80" s="25"/>
      <c r="I80" s="25"/>
    </row>
    <row r="81" customFormat="false" ht="25.5" hidden="false" customHeight="true" outlineLevel="0" collapsed="false">
      <c r="A81" s="26" t="s">
        <v>147</v>
      </c>
      <c r="B81" s="26"/>
      <c r="C81" s="26"/>
      <c r="D81" s="26"/>
      <c r="E81" s="26"/>
      <c r="F81" s="26"/>
      <c r="G81" s="26"/>
      <c r="H81" s="26"/>
      <c r="I81" s="26"/>
    </row>
    <row r="83" customFormat="false" ht="18" hidden="false" customHeight="true" outlineLevel="0" collapsed="false">
      <c r="A83" s="27" t="s">
        <v>148</v>
      </c>
      <c r="B83" s="27"/>
      <c r="C83" s="27"/>
      <c r="D83" s="27"/>
      <c r="E83" s="27"/>
      <c r="F83" s="27"/>
      <c r="G83" s="27"/>
      <c r="H83" s="27"/>
      <c r="I83" s="27"/>
    </row>
  </sheetData>
  <mergeCells count="85">
    <mergeCell ref="A1:D1"/>
    <mergeCell ref="A2:D3"/>
    <mergeCell ref="B6:D6"/>
    <mergeCell ref="F6:G6"/>
    <mergeCell ref="H6:I6"/>
    <mergeCell ref="B7:D7"/>
    <mergeCell ref="F7:G7"/>
    <mergeCell ref="H7:I7"/>
    <mergeCell ref="B8:D8"/>
    <mergeCell ref="F8:G8"/>
    <mergeCell ref="H8:I8"/>
    <mergeCell ref="B9:D9"/>
    <mergeCell ref="F9:G9"/>
    <mergeCell ref="H9:I9"/>
    <mergeCell ref="B10:D10"/>
    <mergeCell ref="F10:G10"/>
    <mergeCell ref="H10:I10"/>
    <mergeCell ref="B11:D11"/>
    <mergeCell ref="F11:G11"/>
    <mergeCell ref="H11:I11"/>
    <mergeCell ref="A13:I13"/>
    <mergeCell ref="B16:C16"/>
    <mergeCell ref="B17:I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A33:G33"/>
    <mergeCell ref="B34:I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A47:G47"/>
    <mergeCell ref="B48:I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A63:G63"/>
    <mergeCell ref="A64:G64"/>
    <mergeCell ref="A65:G65"/>
    <mergeCell ref="A66:G66"/>
    <mergeCell ref="A69:I69"/>
    <mergeCell ref="A70:I70"/>
    <mergeCell ref="A71:I71"/>
    <mergeCell ref="A72:I72"/>
    <mergeCell ref="A73:I73"/>
    <mergeCell ref="A74:I74"/>
    <mergeCell ref="A75:I75"/>
    <mergeCell ref="A76:I76"/>
    <mergeCell ref="A77:I77"/>
    <mergeCell ref="A79:I79"/>
    <mergeCell ref="A80:I80"/>
    <mergeCell ref="A81:I81"/>
    <mergeCell ref="A83:I83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8" t="s">
        <v>149</v>
      </c>
      <c r="B1" s="28"/>
      <c r="C1" s="28"/>
      <c r="D1" s="28"/>
      <c r="E1" s="28"/>
      <c r="F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</row>
    <row r="3" customFormat="false" ht="15" hidden="false" customHeight="true" outlineLevel="0" collapsed="false">
      <c r="A3" s="29" t="s">
        <v>150</v>
      </c>
      <c r="B3" s="29"/>
      <c r="C3" s="29"/>
      <c r="D3" s="29"/>
      <c r="E3" s="29"/>
      <c r="F3" s="29"/>
    </row>
    <row r="5" customFormat="false" ht="15" hidden="false" customHeight="false" outlineLevel="0" collapsed="false">
      <c r="A5" s="10" t="s">
        <v>151</v>
      </c>
      <c r="B5" s="10" t="s">
        <v>152</v>
      </c>
      <c r="C5" s="10" t="s">
        <v>153</v>
      </c>
      <c r="D5" s="10" t="s">
        <v>154</v>
      </c>
      <c r="E5" s="10" t="s">
        <v>155</v>
      </c>
      <c r="F5" s="10" t="s">
        <v>156</v>
      </c>
    </row>
    <row r="6" customFormat="false" ht="21.75" hidden="false" customHeight="true" outlineLevel="0" collapsed="false">
      <c r="A6" s="30" t="s">
        <v>157</v>
      </c>
      <c r="B6" s="14" t="n">
        <f aca="false">도비!$G$22</f>
        <v>1380000</v>
      </c>
      <c r="C6" s="14" t="n">
        <f aca="false">용접!$G$19</f>
        <v>3680000</v>
      </c>
      <c r="D6" s="14" t="n">
        <f aca="false">베이스!$G$21</f>
        <v>8733700</v>
      </c>
      <c r="E6" s="31" t="n">
        <f aca="false">SUM(B6:D6)</f>
        <v>13793700</v>
      </c>
      <c r="F6" s="32" t="n">
        <f aca="false">E6/$E$16</f>
        <v>0.192402220610389</v>
      </c>
    </row>
    <row r="7" customFormat="false" ht="21.75" hidden="false" customHeight="true" outlineLevel="0" collapsed="false">
      <c r="A7" s="30" t="s">
        <v>158</v>
      </c>
      <c r="B7" s="14" t="n">
        <f aca="false">도비!$G$23</f>
        <v>6480000</v>
      </c>
      <c r="C7" s="14" t="n">
        <f aca="false">용접!$G$20</f>
        <v>9850000</v>
      </c>
      <c r="D7" s="14" t="n">
        <f aca="false">베이스!$G$22</f>
        <v>4950000</v>
      </c>
      <c r="E7" s="31" t="n">
        <f aca="false">SUM(B7:D7)</f>
        <v>21280000</v>
      </c>
      <c r="F7" s="32" t="n">
        <f aca="false">E7/$E$16</f>
        <v>0.296825308263126</v>
      </c>
    </row>
    <row r="8" customFormat="false" ht="21.75" hidden="false" customHeight="true" outlineLevel="0" collapsed="false">
      <c r="A8" s="30" t="s">
        <v>71</v>
      </c>
      <c r="B8" s="14" t="n">
        <f aca="false">도비!$G$24</f>
        <v>12070000</v>
      </c>
      <c r="C8" s="14" t="n">
        <f aca="false">용접!$G$21</f>
        <v>9000000</v>
      </c>
      <c r="D8" s="14" t="n">
        <f aca="false">베이스!$G$23</f>
        <v>2850000</v>
      </c>
      <c r="E8" s="31" t="n">
        <f aca="false">SUM(B8:D8)</f>
        <v>23920000</v>
      </c>
      <c r="F8" s="32" t="n">
        <f aca="false">E8/$E$16</f>
        <v>0.333649500641634</v>
      </c>
    </row>
    <row r="9" customFormat="false" ht="21.75" hidden="false" customHeight="true" outlineLevel="0" collapsed="false">
      <c r="A9" s="30" t="s">
        <v>159</v>
      </c>
      <c r="B9" s="14" t="n">
        <f aca="false">도비!$G$25</f>
        <v>230688</v>
      </c>
      <c r="C9" s="14" t="n">
        <f aca="false">용접!$G$22</f>
        <v>350660</v>
      </c>
      <c r="D9" s="14" t="n">
        <f aca="false">베이스!$G$24</f>
        <v>176220</v>
      </c>
      <c r="E9" s="31" t="n">
        <f aca="false">SUM(B9:D9)</f>
        <v>757568</v>
      </c>
      <c r="F9" s="32" t="n">
        <f aca="false">E9/$E$16</f>
        <v>0.0105669809741673</v>
      </c>
    </row>
    <row r="10" customFormat="false" ht="21.75" hidden="false" customHeight="true" outlineLevel="0" collapsed="false">
      <c r="A10" s="30" t="s">
        <v>160</v>
      </c>
      <c r="B10" s="14" t="n">
        <f aca="false">도비!$G$26</f>
        <v>74520</v>
      </c>
      <c r="C10" s="14" t="n">
        <f aca="false">용접!$G$23</f>
        <v>113275</v>
      </c>
      <c r="D10" s="14" t="n">
        <f aca="false">베이스!$G$25</f>
        <v>56925</v>
      </c>
      <c r="E10" s="31" t="n">
        <f aca="false">SUM(B10:D10)</f>
        <v>244720</v>
      </c>
      <c r="F10" s="32" t="n">
        <f aca="false">E10/$E$16</f>
        <v>0.00341349104502594</v>
      </c>
    </row>
    <row r="11" customFormat="false" ht="21.75" hidden="false" customHeight="true" outlineLevel="0" collapsed="false">
      <c r="A11" s="30" t="s">
        <v>161</v>
      </c>
      <c r="B11" s="14" t="n">
        <f aca="false">도비!$G$27</f>
        <v>244446</v>
      </c>
      <c r="C11" s="14" t="n">
        <f aca="false">용접!$G$24</f>
        <v>420783</v>
      </c>
      <c r="D11" s="14" t="n">
        <f aca="false">베이스!$G$26</f>
        <v>425563.07</v>
      </c>
      <c r="E11" s="31" t="n">
        <f aca="false">SUM(B11:D11)</f>
        <v>1090792.07</v>
      </c>
      <c r="F11" s="32" t="n">
        <f aca="false">E11/$E$16</f>
        <v>0.0152149761479663</v>
      </c>
    </row>
    <row r="12" customFormat="false" ht="21.75" hidden="false" customHeight="true" outlineLevel="0" collapsed="false">
      <c r="A12" s="18" t="s">
        <v>162</v>
      </c>
      <c r="B12" s="19" t="n">
        <f aca="false">도비!$G$28</f>
        <v>20479654</v>
      </c>
      <c r="C12" s="19" t="n">
        <f aca="false">용접!$G$25</f>
        <v>23414718</v>
      </c>
      <c r="D12" s="19" t="n">
        <f aca="false">베이스!$G$27</f>
        <v>17192408.07</v>
      </c>
      <c r="E12" s="19" t="n">
        <f aca="false">SUM(B12:D12)</f>
        <v>61086780.07</v>
      </c>
      <c r="F12" s="33" t="n">
        <f aca="false">E12/$E$16</f>
        <v>0.852072477682308</v>
      </c>
    </row>
    <row r="13" customFormat="false" ht="21.75" hidden="false" customHeight="true" outlineLevel="0" collapsed="false">
      <c r="A13" s="30" t="s">
        <v>163</v>
      </c>
      <c r="B13" s="14" t="n">
        <f aca="false">도비!$G$29</f>
        <v>1023982.7</v>
      </c>
      <c r="C13" s="14" t="n">
        <f aca="false">용접!$G$26</f>
        <v>1170735.9</v>
      </c>
      <c r="D13" s="14" t="n">
        <f aca="false">베이스!$G$28</f>
        <v>859620.4035</v>
      </c>
      <c r="E13" s="31" t="n">
        <f aca="false">SUM(B13:D13)</f>
        <v>3054339.0035</v>
      </c>
      <c r="F13" s="32" t="n">
        <f aca="false">E13/$E$16</f>
        <v>0.0426036238841154</v>
      </c>
    </row>
    <row r="14" customFormat="false" ht="21.75" hidden="false" customHeight="true" outlineLevel="0" collapsed="false">
      <c r="A14" s="30" t="s">
        <v>164</v>
      </c>
      <c r="B14" s="14" t="n">
        <f aca="false">도비!$G$30</f>
        <v>3018545.505</v>
      </c>
      <c r="C14" s="14" t="n">
        <f aca="false">용접!$G$27</f>
        <v>3135818.085</v>
      </c>
      <c r="D14" s="14" t="n">
        <f aca="false">베이스!$G$29</f>
        <v>1397749.271025</v>
      </c>
      <c r="E14" s="31" t="n">
        <f aca="false">SUM(B14:D14)</f>
        <v>7552112.861025</v>
      </c>
      <c r="F14" s="32" t="n">
        <f aca="false">E14/$E$16</f>
        <v>0.105341082143405</v>
      </c>
    </row>
    <row r="15" customFormat="false" ht="21.75" hidden="false" customHeight="true" outlineLevel="0" collapsed="false">
      <c r="A15" s="30" t="s">
        <v>165</v>
      </c>
      <c r="B15" s="14" t="n">
        <f aca="false">도비!$G$31</f>
        <v>-182.204999998212</v>
      </c>
      <c r="C15" s="14" t="n">
        <f aca="false">용접!$G$28</f>
        <v>-271.984999999404</v>
      </c>
      <c r="D15" s="14" t="n">
        <f aca="false">베이스!$G$30</f>
        <v>-777.744524996728</v>
      </c>
      <c r="E15" s="31" t="n">
        <f aca="false">SUM(B15:D15)</f>
        <v>-1231.93452499434</v>
      </c>
      <c r="F15" s="32" t="n">
        <f aca="false">E15/$E$16</f>
        <v>-1.71837098280749E-005</v>
      </c>
    </row>
    <row r="16" customFormat="false" ht="21.75" hidden="false" customHeight="true" outlineLevel="0" collapsed="false">
      <c r="A16" s="18" t="s">
        <v>132</v>
      </c>
      <c r="B16" s="19" t="n">
        <f aca="false">도비!$G$32</f>
        <v>24522000</v>
      </c>
      <c r="C16" s="19" t="n">
        <f aca="false">용접!$G$29</f>
        <v>27721000</v>
      </c>
      <c r="D16" s="19" t="n">
        <f aca="false">베이스!$G$31</f>
        <v>19449000</v>
      </c>
      <c r="E16" s="19" t="n">
        <f aca="false">SUM(B16:D16)</f>
        <v>71692000</v>
      </c>
      <c r="F16" s="33" t="n">
        <f aca="false">E16/$E$16</f>
        <v>1</v>
      </c>
    </row>
    <row r="17" customFormat="false" ht="15" hidden="false" customHeight="false" outlineLevel="0" collapsed="false">
      <c r="A17" s="11" t="s">
        <v>166</v>
      </c>
      <c r="B17" s="14"/>
      <c r="C17" s="14"/>
      <c r="D17" s="14"/>
      <c r="E17" s="14" t="n">
        <f aca="false">E16*0.1</f>
        <v>7169200</v>
      </c>
      <c r="F17" s="14"/>
    </row>
    <row r="18" customFormat="false" ht="15" hidden="false" customHeight="false" outlineLevel="0" collapsed="false">
      <c r="A18" s="34" t="s">
        <v>167</v>
      </c>
      <c r="B18" s="35"/>
      <c r="C18" s="35"/>
      <c r="D18" s="35"/>
      <c r="E18" s="35" t="n">
        <f aca="false">E16+E17</f>
        <v>78861200</v>
      </c>
      <c r="F18" s="35"/>
    </row>
    <row r="20" customFormat="false" ht="30" hidden="false" customHeight="true" outlineLevel="0" collapsed="false">
      <c r="A20" s="36" t="s">
        <v>168</v>
      </c>
      <c r="B20" s="36"/>
      <c r="C20" s="36"/>
      <c r="D20" s="36"/>
      <c r="E20" s="36"/>
      <c r="F20" s="36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8.65" hidden="false" customHeight="false" outlineLevel="0" collapsed="false">
      <c r="A1" s="37" t="s">
        <v>169</v>
      </c>
      <c r="B1" s="37"/>
      <c r="C1" s="37"/>
      <c r="D1" s="37"/>
      <c r="E1" s="37"/>
    </row>
    <row r="3" customFormat="false" ht="15" hidden="false" customHeight="false" outlineLevel="0" collapsed="false">
      <c r="A3" s="15" t="s">
        <v>170</v>
      </c>
      <c r="B3" s="15" t="s">
        <v>171</v>
      </c>
      <c r="C3" s="15" t="s">
        <v>172</v>
      </c>
      <c r="D3" s="15" t="s">
        <v>173</v>
      </c>
      <c r="E3" s="15" t="s">
        <v>36</v>
      </c>
    </row>
    <row r="4" customFormat="false" ht="30" hidden="false" customHeight="true" outlineLevel="0" collapsed="false">
      <c r="A4" s="13" t="s">
        <v>152</v>
      </c>
      <c r="B4" s="14" t="n">
        <f aca="false">도비!$G$32</f>
        <v>24522000</v>
      </c>
      <c r="C4" s="14" t="n">
        <f aca="false">B_도비!$G$35</f>
        <v>33527000</v>
      </c>
      <c r="D4" s="14" t="n">
        <f aca="false">C4-B4</f>
        <v>9005000</v>
      </c>
      <c r="E4" s="13" t="s">
        <v>174</v>
      </c>
    </row>
    <row r="5" customFormat="false" ht="30" hidden="false" customHeight="true" outlineLevel="0" collapsed="false">
      <c r="A5" s="13" t="s">
        <v>153</v>
      </c>
      <c r="B5" s="14" t="n">
        <f aca="false">용접!$G$29</f>
        <v>27721000</v>
      </c>
      <c r="C5" s="14" t="n">
        <f aca="false">B_용접!$G$29</f>
        <v>27721000</v>
      </c>
      <c r="D5" s="14" t="n">
        <f aca="false">C5-B5</f>
        <v>0</v>
      </c>
      <c r="E5" s="13" t="s">
        <v>175</v>
      </c>
    </row>
    <row r="6" customFormat="false" ht="30" hidden="false" customHeight="true" outlineLevel="0" collapsed="false">
      <c r="A6" s="13" t="s">
        <v>176</v>
      </c>
      <c r="B6" s="14" t="n">
        <f aca="false">베이스!$G$31</f>
        <v>19449000</v>
      </c>
      <c r="C6" s="14" t="n">
        <f aca="false">B_조방!$G$27</f>
        <v>6422000</v>
      </c>
      <c r="D6" s="14" t="n">
        <f aca="false">C6-B6</f>
        <v>-13027000</v>
      </c>
      <c r="E6" s="13" t="s">
        <v>177</v>
      </c>
    </row>
    <row r="7" customFormat="false" ht="30" hidden="false" customHeight="true" outlineLevel="0" collapsed="false">
      <c r="A7" s="38" t="s">
        <v>178</v>
      </c>
      <c r="B7" s="35" t="n">
        <f aca="false">SUM(B4:B6)</f>
        <v>71692000</v>
      </c>
      <c r="C7" s="35" t="n">
        <f aca="false">SUM(C4:C6)</f>
        <v>67670000</v>
      </c>
      <c r="D7" s="35" t="n">
        <f aca="false">SUM(D4:D6)</f>
        <v>-4022000</v>
      </c>
      <c r="E7" s="38"/>
    </row>
    <row r="9" customFormat="false" ht="27.75" hidden="false" customHeight="true" outlineLevel="0" collapsed="false">
      <c r="A9" s="36" t="s">
        <v>179</v>
      </c>
      <c r="B9" s="36"/>
      <c r="C9" s="36"/>
      <c r="D9" s="36"/>
      <c r="E9" s="36"/>
    </row>
    <row r="10" customFormat="false" ht="27.75" hidden="false" customHeight="true" outlineLevel="0" collapsed="false">
      <c r="A10" s="36" t="s">
        <v>180</v>
      </c>
      <c r="B10" s="36"/>
      <c r="C10" s="36"/>
      <c r="D10" s="36"/>
      <c r="E10" s="36"/>
    </row>
    <row r="11" customFormat="false" ht="27.75" hidden="false" customHeight="true" outlineLevel="0" collapsed="false">
      <c r="A11" s="36" t="s">
        <v>181</v>
      </c>
      <c r="B11" s="36"/>
      <c r="C11" s="36"/>
      <c r="D11" s="36"/>
      <c r="E11" s="36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39" t="s">
        <v>182</v>
      </c>
    </row>
    <row r="2" customFormat="false" ht="15" hidden="false" customHeight="false" outlineLevel="0" collapsed="false">
      <c r="A2" s="40" t="s">
        <v>183</v>
      </c>
    </row>
    <row r="4" customFormat="false" ht="15" hidden="false" customHeight="false" outlineLevel="0" collapsed="false">
      <c r="A4" s="10" t="s">
        <v>184</v>
      </c>
      <c r="B4" s="10" t="s">
        <v>30</v>
      </c>
      <c r="C4" s="10" t="s">
        <v>31</v>
      </c>
      <c r="D4" s="10" t="s">
        <v>185</v>
      </c>
      <c r="E4" s="10" t="s">
        <v>186</v>
      </c>
      <c r="F4" s="10" t="s">
        <v>187</v>
      </c>
      <c r="G4" s="10" t="s">
        <v>188</v>
      </c>
    </row>
    <row r="5" customFormat="false" ht="23.85" hidden="false" customHeight="false" outlineLevel="0" collapsed="false">
      <c r="A5" s="13" t="s">
        <v>152</v>
      </c>
      <c r="B5" s="13" t="s">
        <v>38</v>
      </c>
      <c r="C5" s="13" t="s">
        <v>39</v>
      </c>
      <c r="D5" s="13" t="s">
        <v>189</v>
      </c>
      <c r="E5" s="41" t="n">
        <f aca="false">도비!G8</f>
        <v>4500000</v>
      </c>
      <c r="F5" s="13" t="s">
        <v>190</v>
      </c>
      <c r="G5" s="13" t="s">
        <v>191</v>
      </c>
    </row>
    <row r="6" customFormat="false" ht="15" hidden="false" customHeight="false" outlineLevel="0" collapsed="false">
      <c r="A6" s="13" t="s">
        <v>152</v>
      </c>
      <c r="B6" s="13" t="s">
        <v>41</v>
      </c>
      <c r="C6" s="13" t="s">
        <v>42</v>
      </c>
      <c r="D6" s="13" t="s">
        <v>192</v>
      </c>
      <c r="E6" s="41" t="n">
        <f aca="false">도비!G9</f>
        <v>520000</v>
      </c>
      <c r="F6" s="13" t="s">
        <v>193</v>
      </c>
      <c r="G6" s="13" t="s">
        <v>194</v>
      </c>
    </row>
    <row r="7" customFormat="false" ht="15" hidden="false" customHeight="false" outlineLevel="0" collapsed="false">
      <c r="A7" s="13" t="s">
        <v>152</v>
      </c>
      <c r="B7" s="13" t="s">
        <v>44</v>
      </c>
      <c r="C7" s="13" t="s">
        <v>45</v>
      </c>
      <c r="D7" s="13" t="s">
        <v>195</v>
      </c>
      <c r="E7" s="41" t="n">
        <f aca="false">도비!G10</f>
        <v>960000</v>
      </c>
      <c r="F7" s="13" t="s">
        <v>193</v>
      </c>
      <c r="G7" s="13"/>
    </row>
    <row r="8" customFormat="false" ht="15" hidden="false" customHeight="false" outlineLevel="0" collapsed="false">
      <c r="A8" s="13" t="s">
        <v>152</v>
      </c>
      <c r="B8" s="13" t="s">
        <v>47</v>
      </c>
      <c r="C8" s="13" t="s">
        <v>48</v>
      </c>
      <c r="D8" s="13" t="s">
        <v>196</v>
      </c>
      <c r="E8" s="41" t="n">
        <f aca="false">도비!G11</f>
        <v>2400000</v>
      </c>
      <c r="F8" s="13" t="s">
        <v>197</v>
      </c>
      <c r="G8" s="13"/>
    </row>
    <row r="9" customFormat="false" ht="15" hidden="false" customHeight="false" outlineLevel="0" collapsed="false">
      <c r="A9" s="13" t="s">
        <v>152</v>
      </c>
      <c r="B9" s="13" t="s">
        <v>47</v>
      </c>
      <c r="C9" s="13" t="s">
        <v>50</v>
      </c>
      <c r="D9" s="13" t="s">
        <v>198</v>
      </c>
      <c r="E9" s="41" t="n">
        <f aca="false">도비!G12</f>
        <v>1700000</v>
      </c>
      <c r="F9" s="13" t="s">
        <v>197</v>
      </c>
      <c r="G9" s="13"/>
    </row>
    <row r="10" customFormat="false" ht="15" hidden="false" customHeight="false" outlineLevel="0" collapsed="false">
      <c r="A10" s="13" t="s">
        <v>152</v>
      </c>
      <c r="B10" s="13" t="s">
        <v>51</v>
      </c>
      <c r="C10" s="13" t="s">
        <v>52</v>
      </c>
      <c r="D10" s="13" t="s">
        <v>199</v>
      </c>
      <c r="E10" s="41" t="n">
        <f aca="false">도비!G13</f>
        <v>640000</v>
      </c>
      <c r="F10" s="13" t="s">
        <v>193</v>
      </c>
      <c r="G10" s="13"/>
    </row>
    <row r="11" customFormat="false" ht="15" hidden="false" customHeight="false" outlineLevel="0" collapsed="false">
      <c r="A11" s="13" t="s">
        <v>152</v>
      </c>
      <c r="B11" s="13" t="s">
        <v>54</v>
      </c>
      <c r="C11" s="13" t="s">
        <v>55</v>
      </c>
      <c r="D11" s="13" t="s">
        <v>200</v>
      </c>
      <c r="E11" s="41" t="n">
        <f aca="false">도비!G14</f>
        <v>2000000</v>
      </c>
      <c r="F11" s="13" t="s">
        <v>193</v>
      </c>
      <c r="G11" s="13"/>
    </row>
    <row r="12" customFormat="false" ht="15" hidden="false" customHeight="false" outlineLevel="0" collapsed="false">
      <c r="A12" s="13" t="s">
        <v>152</v>
      </c>
      <c r="B12" s="13" t="s">
        <v>57</v>
      </c>
      <c r="C12" s="13" t="s">
        <v>58</v>
      </c>
      <c r="D12" s="13" t="s">
        <v>201</v>
      </c>
      <c r="E12" s="41" t="n">
        <f aca="false">도비!G15</f>
        <v>3000000</v>
      </c>
      <c r="F12" s="13" t="s">
        <v>202</v>
      </c>
      <c r="G12" s="13"/>
    </row>
    <row r="13" customFormat="false" ht="15" hidden="false" customHeight="false" outlineLevel="0" collapsed="false">
      <c r="A13" s="13" t="s">
        <v>152</v>
      </c>
      <c r="B13" s="13" t="s">
        <v>59</v>
      </c>
      <c r="C13" s="13" t="s">
        <v>60</v>
      </c>
      <c r="D13" s="13" t="s">
        <v>201</v>
      </c>
      <c r="E13" s="41" t="n">
        <f aca="false">도비!G16</f>
        <v>1000000</v>
      </c>
      <c r="F13" s="13" t="s">
        <v>202</v>
      </c>
      <c r="G13" s="13"/>
    </row>
    <row r="14" customFormat="false" ht="23.85" hidden="false" customHeight="false" outlineLevel="0" collapsed="false">
      <c r="A14" s="13" t="s">
        <v>152</v>
      </c>
      <c r="B14" s="13" t="s">
        <v>61</v>
      </c>
      <c r="C14" s="13" t="s">
        <v>62</v>
      </c>
      <c r="D14" s="13" t="s">
        <v>203</v>
      </c>
      <c r="E14" s="41" t="n">
        <f aca="false">도비!G17</f>
        <v>1210000</v>
      </c>
      <c r="F14" s="13" t="s">
        <v>204</v>
      </c>
      <c r="G14" s="13"/>
    </row>
    <row r="15" customFormat="false" ht="15" hidden="false" customHeight="false" outlineLevel="0" collapsed="false">
      <c r="A15" s="13" t="s">
        <v>152</v>
      </c>
      <c r="B15" s="13" t="s">
        <v>64</v>
      </c>
      <c r="C15" s="13" t="s">
        <v>65</v>
      </c>
      <c r="D15" s="13" t="s">
        <v>205</v>
      </c>
      <c r="E15" s="41" t="n">
        <f aca="false">도비!G18</f>
        <v>500000</v>
      </c>
      <c r="F15" s="13" t="s">
        <v>197</v>
      </c>
      <c r="G15" s="13" t="s">
        <v>206</v>
      </c>
    </row>
    <row r="16" customFormat="false" ht="15" hidden="false" customHeight="false" outlineLevel="0" collapsed="false">
      <c r="A16" s="13" t="s">
        <v>152</v>
      </c>
      <c r="B16" s="13" t="s">
        <v>67</v>
      </c>
      <c r="C16" s="13" t="s">
        <v>68</v>
      </c>
      <c r="D16" s="13" t="s">
        <v>207</v>
      </c>
      <c r="E16" s="41" t="n">
        <f aca="false">도비!G19</f>
        <v>520000</v>
      </c>
      <c r="F16" s="13" t="s">
        <v>193</v>
      </c>
      <c r="G16" s="13"/>
    </row>
    <row r="17" customFormat="false" ht="15" hidden="false" customHeight="false" outlineLevel="0" collapsed="false">
      <c r="A17" s="13" t="s">
        <v>152</v>
      </c>
      <c r="B17" s="13" t="s">
        <v>70</v>
      </c>
      <c r="C17" s="13"/>
      <c r="D17" s="13" t="s">
        <v>201</v>
      </c>
      <c r="E17" s="41" t="n">
        <f aca="false">도비!G20</f>
        <v>380000</v>
      </c>
      <c r="F17" s="13" t="s">
        <v>193</v>
      </c>
      <c r="G17" s="13"/>
    </row>
    <row r="18" customFormat="false" ht="15" hidden="false" customHeight="false" outlineLevel="0" collapsed="false">
      <c r="A18" s="13" t="s">
        <v>152</v>
      </c>
      <c r="B18" s="13" t="s">
        <v>71</v>
      </c>
      <c r="C18" s="13" t="s">
        <v>72</v>
      </c>
      <c r="D18" s="13" t="s">
        <v>208</v>
      </c>
      <c r="E18" s="41" t="n">
        <f aca="false">도비!G21</f>
        <v>600000</v>
      </c>
      <c r="F18" s="13" t="s">
        <v>197</v>
      </c>
      <c r="G18" s="13"/>
    </row>
    <row r="19" customFormat="false" ht="23.85" hidden="false" customHeight="false" outlineLevel="0" collapsed="false">
      <c r="A19" s="20"/>
      <c r="B19" s="42" t="s">
        <v>73</v>
      </c>
      <c r="C19" s="20"/>
      <c r="D19" s="20"/>
      <c r="E19" s="43" t="n">
        <f aca="false">도비!$G$32-SUM(도비!$G$22:$G$24)</f>
        <v>4592000</v>
      </c>
      <c r="F19" s="20" t="s">
        <v>76</v>
      </c>
      <c r="G19" s="20"/>
    </row>
    <row r="20" customFormat="false" ht="15" hidden="false" customHeight="false" outlineLevel="0" collapsed="false">
      <c r="A20" s="20"/>
      <c r="B20" s="42" t="s">
        <v>209</v>
      </c>
      <c r="C20" s="20"/>
      <c r="D20" s="20"/>
      <c r="E20" s="43" t="n">
        <f aca="false">도비!$G$32</f>
        <v>24522000</v>
      </c>
      <c r="F20" s="20" t="s">
        <v>210</v>
      </c>
      <c r="G20" s="20"/>
    </row>
    <row r="22" customFormat="false" ht="23.85" hidden="false" customHeight="false" outlineLevel="0" collapsed="false">
      <c r="A22" s="13" t="s">
        <v>153</v>
      </c>
      <c r="B22" s="13" t="s">
        <v>80</v>
      </c>
      <c r="C22" s="13" t="s">
        <v>81</v>
      </c>
      <c r="D22" s="13" t="s">
        <v>211</v>
      </c>
      <c r="E22" s="41" t="n">
        <f aca="false">용접!G8</f>
        <v>4500000</v>
      </c>
      <c r="F22" s="13" t="s">
        <v>212</v>
      </c>
      <c r="G22" s="13" t="s">
        <v>213</v>
      </c>
    </row>
    <row r="23" customFormat="false" ht="23.85" hidden="false" customHeight="false" outlineLevel="0" collapsed="false">
      <c r="A23" s="13" t="s">
        <v>153</v>
      </c>
      <c r="B23" s="13" t="s">
        <v>83</v>
      </c>
      <c r="C23" s="13" t="s">
        <v>84</v>
      </c>
      <c r="D23" s="13" t="s">
        <v>214</v>
      </c>
      <c r="E23" s="41" t="n">
        <f aca="false">용접!G9</f>
        <v>2100000</v>
      </c>
      <c r="F23" s="13" t="s">
        <v>212</v>
      </c>
      <c r="G23" s="13" t="s">
        <v>215</v>
      </c>
    </row>
    <row r="24" customFormat="false" ht="15" hidden="false" customHeight="false" outlineLevel="0" collapsed="false">
      <c r="A24" s="13" t="s">
        <v>153</v>
      </c>
      <c r="B24" s="13" t="s">
        <v>86</v>
      </c>
      <c r="C24" s="13" t="s">
        <v>87</v>
      </c>
      <c r="D24" s="13" t="s">
        <v>216</v>
      </c>
      <c r="E24" s="41" t="n">
        <f aca="false">용접!G10</f>
        <v>1200000</v>
      </c>
      <c r="F24" s="13" t="s">
        <v>217</v>
      </c>
      <c r="G24" s="13" t="s">
        <v>194</v>
      </c>
    </row>
    <row r="25" customFormat="false" ht="15" hidden="false" customHeight="false" outlineLevel="0" collapsed="false">
      <c r="A25" s="13" t="s">
        <v>153</v>
      </c>
      <c r="B25" s="13" t="s">
        <v>89</v>
      </c>
      <c r="C25" s="13" t="s">
        <v>90</v>
      </c>
      <c r="D25" s="13" t="s">
        <v>218</v>
      </c>
      <c r="E25" s="41" t="n">
        <f aca="false">용접!G11</f>
        <v>800000</v>
      </c>
      <c r="F25" s="13" t="s">
        <v>217</v>
      </c>
      <c r="G25" s="13" t="s">
        <v>206</v>
      </c>
    </row>
    <row r="26" customFormat="false" ht="23.85" hidden="false" customHeight="false" outlineLevel="0" collapsed="false">
      <c r="A26" s="13" t="s">
        <v>153</v>
      </c>
      <c r="B26" s="13" t="s">
        <v>91</v>
      </c>
      <c r="C26" s="13" t="s">
        <v>92</v>
      </c>
      <c r="D26" s="13" t="s">
        <v>219</v>
      </c>
      <c r="E26" s="41" t="n">
        <f aca="false">용접!G12</f>
        <v>1250000</v>
      </c>
      <c r="F26" s="13" t="s">
        <v>220</v>
      </c>
      <c r="G26" s="13" t="s">
        <v>194</v>
      </c>
    </row>
    <row r="27" customFormat="false" ht="15" hidden="false" customHeight="false" outlineLevel="0" collapsed="false">
      <c r="A27" s="13" t="s">
        <v>153</v>
      </c>
      <c r="B27" s="13" t="s">
        <v>94</v>
      </c>
      <c r="C27" s="13" t="s">
        <v>95</v>
      </c>
      <c r="D27" s="13" t="s">
        <v>221</v>
      </c>
      <c r="E27" s="41" t="n">
        <f aca="false">용접!G13</f>
        <v>3600000</v>
      </c>
      <c r="F27" s="13" t="s">
        <v>197</v>
      </c>
      <c r="G27" s="13"/>
    </row>
    <row r="28" customFormat="false" ht="15" hidden="false" customHeight="false" outlineLevel="0" collapsed="false">
      <c r="A28" s="13" t="s">
        <v>153</v>
      </c>
      <c r="B28" s="13" t="s">
        <v>97</v>
      </c>
      <c r="C28" s="13" t="s">
        <v>98</v>
      </c>
      <c r="D28" s="13" t="s">
        <v>201</v>
      </c>
      <c r="E28" s="41" t="n">
        <f aca="false">용접!G14</f>
        <v>800000</v>
      </c>
      <c r="F28" s="13" t="s">
        <v>193</v>
      </c>
      <c r="G28" s="13"/>
    </row>
    <row r="29" customFormat="false" ht="23.85" hidden="false" customHeight="false" outlineLevel="0" collapsed="false">
      <c r="A29" s="13" t="s">
        <v>153</v>
      </c>
      <c r="B29" s="13" t="s">
        <v>99</v>
      </c>
      <c r="C29" s="13" t="s">
        <v>100</v>
      </c>
      <c r="D29" s="13" t="s">
        <v>222</v>
      </c>
      <c r="E29" s="41" t="n">
        <f aca="false">용접!G15</f>
        <v>3680000</v>
      </c>
      <c r="F29" s="13" t="s">
        <v>193</v>
      </c>
      <c r="G29" s="13"/>
    </row>
    <row r="30" customFormat="false" ht="15" hidden="false" customHeight="false" outlineLevel="0" collapsed="false">
      <c r="A30" s="13" t="s">
        <v>153</v>
      </c>
      <c r="B30" s="13" t="s">
        <v>101</v>
      </c>
      <c r="C30" s="13"/>
      <c r="D30" s="13" t="s">
        <v>223</v>
      </c>
      <c r="E30" s="41" t="n">
        <f aca="false">용접!G16</f>
        <v>1000000</v>
      </c>
      <c r="F30" s="13" t="s">
        <v>197</v>
      </c>
      <c r="G30" s="13"/>
    </row>
    <row r="31" customFormat="false" ht="15" hidden="false" customHeight="false" outlineLevel="0" collapsed="false">
      <c r="A31" s="13" t="s">
        <v>153</v>
      </c>
      <c r="B31" s="13" t="s">
        <v>102</v>
      </c>
      <c r="C31" s="13" t="s">
        <v>103</v>
      </c>
      <c r="D31" s="13" t="s">
        <v>224</v>
      </c>
      <c r="E31" s="41" t="n">
        <f aca="false">용접!G17</f>
        <v>2200000</v>
      </c>
      <c r="F31" s="13" t="s">
        <v>197</v>
      </c>
      <c r="G31" s="13"/>
    </row>
    <row r="32" customFormat="false" ht="15" hidden="false" customHeight="false" outlineLevel="0" collapsed="false">
      <c r="A32" s="13" t="s">
        <v>153</v>
      </c>
      <c r="B32" s="13" t="s">
        <v>71</v>
      </c>
      <c r="C32" s="13" t="s">
        <v>105</v>
      </c>
      <c r="D32" s="13" t="s">
        <v>225</v>
      </c>
      <c r="E32" s="41" t="n">
        <f aca="false">용접!G18</f>
        <v>1400000</v>
      </c>
      <c r="F32" s="13" t="s">
        <v>197</v>
      </c>
      <c r="G32" s="13"/>
    </row>
    <row r="33" customFormat="false" ht="23.85" hidden="false" customHeight="false" outlineLevel="0" collapsed="false">
      <c r="A33" s="20"/>
      <c r="B33" s="42" t="s">
        <v>73</v>
      </c>
      <c r="C33" s="20"/>
      <c r="D33" s="20"/>
      <c r="E33" s="43" t="n">
        <f aca="false">용접!$G$29-SUM(용접!$G$19:$G$21)</f>
        <v>5191000</v>
      </c>
      <c r="F33" s="20" t="s">
        <v>76</v>
      </c>
      <c r="G33" s="20"/>
    </row>
    <row r="34" customFormat="false" ht="15" hidden="false" customHeight="false" outlineLevel="0" collapsed="false">
      <c r="A34" s="20"/>
      <c r="B34" s="42" t="s">
        <v>209</v>
      </c>
      <c r="C34" s="20"/>
      <c r="D34" s="20"/>
      <c r="E34" s="43" t="n">
        <f aca="false">용접!$G$29</f>
        <v>27721000</v>
      </c>
      <c r="F34" s="20" t="s">
        <v>226</v>
      </c>
      <c r="G34" s="20"/>
    </row>
    <row r="36" customFormat="false" ht="23.85" hidden="false" customHeight="false" outlineLevel="0" collapsed="false">
      <c r="A36" s="13" t="s">
        <v>154</v>
      </c>
      <c r="B36" s="13" t="s">
        <v>110</v>
      </c>
      <c r="C36" s="13" t="s">
        <v>111</v>
      </c>
      <c r="D36" s="13" t="s">
        <v>227</v>
      </c>
      <c r="E36" s="41" t="n">
        <f aca="false">베이스!G8</f>
        <v>6993700</v>
      </c>
      <c r="F36" s="13" t="s">
        <v>228</v>
      </c>
      <c r="G36" s="13"/>
    </row>
    <row r="37" customFormat="false" ht="15" hidden="false" customHeight="false" outlineLevel="0" collapsed="false">
      <c r="A37" s="13" t="s">
        <v>154</v>
      </c>
      <c r="B37" s="13" t="s">
        <v>113</v>
      </c>
      <c r="C37" s="13"/>
      <c r="D37" s="13" t="s">
        <v>201</v>
      </c>
      <c r="E37" s="41" t="n">
        <f aca="false">베이스!G9</f>
        <v>160000</v>
      </c>
      <c r="F37" s="13" t="s">
        <v>229</v>
      </c>
      <c r="G37" s="13"/>
    </row>
    <row r="38" customFormat="false" ht="15" hidden="false" customHeight="false" outlineLevel="0" collapsed="false">
      <c r="A38" s="13" t="s">
        <v>154</v>
      </c>
      <c r="B38" s="13" t="s">
        <v>114</v>
      </c>
      <c r="C38" s="13"/>
      <c r="D38" s="13" t="s">
        <v>201</v>
      </c>
      <c r="E38" s="41" t="n">
        <f aca="false">베이스!G10</f>
        <v>160000</v>
      </c>
      <c r="F38" s="13" t="s">
        <v>193</v>
      </c>
      <c r="G38" s="13"/>
    </row>
    <row r="39" customFormat="false" ht="15" hidden="false" customHeight="false" outlineLevel="0" collapsed="false">
      <c r="A39" s="13" t="s">
        <v>154</v>
      </c>
      <c r="B39" s="13" t="s">
        <v>99</v>
      </c>
      <c r="C39" s="13" t="s">
        <v>116</v>
      </c>
      <c r="D39" s="13" t="s">
        <v>201</v>
      </c>
      <c r="E39" s="41" t="n">
        <f aca="false">베이스!G11</f>
        <v>1000000</v>
      </c>
      <c r="F39" s="13" t="s">
        <v>193</v>
      </c>
      <c r="G39" s="13"/>
    </row>
    <row r="40" customFormat="false" ht="15" hidden="false" customHeight="false" outlineLevel="0" collapsed="false">
      <c r="A40" s="13" t="s">
        <v>154</v>
      </c>
      <c r="B40" s="13" t="s">
        <v>117</v>
      </c>
      <c r="C40" s="13" t="s">
        <v>118</v>
      </c>
      <c r="D40" s="13" t="s">
        <v>201</v>
      </c>
      <c r="E40" s="41" t="n">
        <f aca="false">베이스!G12</f>
        <v>420000</v>
      </c>
      <c r="F40" s="13" t="s">
        <v>193</v>
      </c>
      <c r="G40" s="13"/>
    </row>
    <row r="41" customFormat="false" ht="15" hidden="false" customHeight="false" outlineLevel="0" collapsed="false">
      <c r="A41" s="13" t="s">
        <v>154</v>
      </c>
      <c r="B41" s="13" t="s">
        <v>120</v>
      </c>
      <c r="C41" s="13" t="s">
        <v>121</v>
      </c>
      <c r="D41" s="13" t="s">
        <v>214</v>
      </c>
      <c r="E41" s="41" t="n">
        <f aca="false">베이스!G13</f>
        <v>2100000</v>
      </c>
      <c r="F41" s="13" t="s">
        <v>230</v>
      </c>
      <c r="G41" s="13" t="s">
        <v>215</v>
      </c>
    </row>
    <row r="42" customFormat="false" ht="15" hidden="false" customHeight="false" outlineLevel="0" collapsed="false">
      <c r="A42" s="13" t="s">
        <v>154</v>
      </c>
      <c r="B42" s="13" t="s">
        <v>80</v>
      </c>
      <c r="C42" s="13" t="s">
        <v>122</v>
      </c>
      <c r="D42" s="13" t="s">
        <v>231</v>
      </c>
      <c r="E42" s="41" t="n">
        <f aca="false">베이스!G14</f>
        <v>1500000</v>
      </c>
      <c r="F42" s="13" t="s">
        <v>230</v>
      </c>
      <c r="G42" s="13" t="s">
        <v>213</v>
      </c>
    </row>
    <row r="43" customFormat="false" ht="15" hidden="false" customHeight="false" outlineLevel="0" collapsed="false">
      <c r="A43" s="13" t="s">
        <v>154</v>
      </c>
      <c r="B43" s="13" t="s">
        <v>89</v>
      </c>
      <c r="C43" s="13" t="s">
        <v>123</v>
      </c>
      <c r="D43" s="13" t="s">
        <v>232</v>
      </c>
      <c r="E43" s="41" t="n">
        <f aca="false">베이스!G15</f>
        <v>600000</v>
      </c>
      <c r="F43" s="13" t="s">
        <v>230</v>
      </c>
      <c r="G43" s="13" t="s">
        <v>206</v>
      </c>
    </row>
    <row r="44" customFormat="false" ht="23.85" hidden="false" customHeight="false" outlineLevel="0" collapsed="false">
      <c r="A44" s="13" t="s">
        <v>154</v>
      </c>
      <c r="B44" s="13" t="s">
        <v>91</v>
      </c>
      <c r="C44" s="13" t="s">
        <v>124</v>
      </c>
      <c r="D44" s="13" t="s">
        <v>233</v>
      </c>
      <c r="E44" s="41" t="n">
        <f aca="false">베이스!G16</f>
        <v>750000</v>
      </c>
      <c r="F44" s="13" t="s">
        <v>220</v>
      </c>
      <c r="G44" s="13" t="s">
        <v>194</v>
      </c>
    </row>
    <row r="45" customFormat="false" ht="15" hidden="false" customHeight="false" outlineLevel="0" collapsed="false">
      <c r="A45" s="13" t="s">
        <v>154</v>
      </c>
      <c r="B45" s="13" t="s">
        <v>125</v>
      </c>
      <c r="C45" s="13" t="s">
        <v>126</v>
      </c>
      <c r="D45" s="13" t="s">
        <v>234</v>
      </c>
      <c r="E45" s="41" t="n">
        <f aca="false">베이스!G17</f>
        <v>600000</v>
      </c>
      <c r="F45" s="13" t="s">
        <v>197</v>
      </c>
      <c r="G45" s="13"/>
    </row>
    <row r="46" customFormat="false" ht="15" hidden="false" customHeight="false" outlineLevel="0" collapsed="false">
      <c r="A46" s="13" t="s">
        <v>154</v>
      </c>
      <c r="B46" s="13" t="s">
        <v>125</v>
      </c>
      <c r="C46" s="13" t="s">
        <v>127</v>
      </c>
      <c r="D46" s="13" t="s">
        <v>235</v>
      </c>
      <c r="E46" s="41" t="n">
        <f aca="false">베이스!G18</f>
        <v>300000</v>
      </c>
      <c r="F46" s="13" t="s">
        <v>236</v>
      </c>
      <c r="G46" s="13"/>
    </row>
    <row r="47" customFormat="false" ht="15" hidden="false" customHeight="false" outlineLevel="0" collapsed="false">
      <c r="A47" s="13" t="s">
        <v>154</v>
      </c>
      <c r="B47" s="13" t="s">
        <v>94</v>
      </c>
      <c r="C47" s="13" t="s">
        <v>95</v>
      </c>
      <c r="D47" s="13" t="s">
        <v>237</v>
      </c>
      <c r="E47" s="41" t="n">
        <f aca="false">베이스!G19</f>
        <v>1200000</v>
      </c>
      <c r="F47" s="13" t="s">
        <v>236</v>
      </c>
      <c r="G47" s="13"/>
    </row>
    <row r="48" customFormat="false" ht="15" hidden="false" customHeight="false" outlineLevel="0" collapsed="false">
      <c r="A48" s="13" t="s">
        <v>154</v>
      </c>
      <c r="B48" s="13" t="s">
        <v>71</v>
      </c>
      <c r="C48" s="13" t="s">
        <v>105</v>
      </c>
      <c r="D48" s="13" t="s">
        <v>238</v>
      </c>
      <c r="E48" s="41" t="n">
        <f aca="false">베이스!G20</f>
        <v>750000</v>
      </c>
      <c r="F48" s="13" t="s">
        <v>197</v>
      </c>
      <c r="G48" s="13"/>
    </row>
    <row r="49" customFormat="false" ht="23.85" hidden="false" customHeight="false" outlineLevel="0" collapsed="false">
      <c r="A49" s="20"/>
      <c r="B49" s="42" t="s">
        <v>73</v>
      </c>
      <c r="C49" s="20"/>
      <c r="D49" s="20"/>
      <c r="E49" s="43" t="n">
        <f aca="false">베이스!$G$31-SUM(베이스!$G$21:$G$23)</f>
        <v>2915300</v>
      </c>
      <c r="F49" s="20" t="s">
        <v>76</v>
      </c>
      <c r="G49" s="20"/>
    </row>
    <row r="50" customFormat="false" ht="15" hidden="false" customHeight="false" outlineLevel="0" collapsed="false">
      <c r="A50" s="20"/>
      <c r="B50" s="42" t="s">
        <v>209</v>
      </c>
      <c r="C50" s="20"/>
      <c r="D50" s="20"/>
      <c r="E50" s="43" t="n">
        <f aca="false">베이스!$G$31</f>
        <v>19449000</v>
      </c>
      <c r="F50" s="20" t="s">
        <v>239</v>
      </c>
      <c r="G50" s="20"/>
    </row>
    <row r="52" customFormat="false" ht="23.85" hidden="false" customHeight="false" outlineLevel="0" collapsed="false">
      <c r="A52" s="13" t="s">
        <v>240</v>
      </c>
      <c r="B52" s="13" t="s">
        <v>38</v>
      </c>
      <c r="C52" s="13" t="s">
        <v>241</v>
      </c>
      <c r="D52" s="13" t="s">
        <v>242</v>
      </c>
      <c r="E52" s="41" t="n">
        <f aca="false">B_도비!G8</f>
        <v>6300000</v>
      </c>
      <c r="F52" s="13" t="s">
        <v>243</v>
      </c>
      <c r="G52" s="13" t="s">
        <v>191</v>
      </c>
    </row>
    <row r="53" customFormat="false" ht="15" hidden="false" customHeight="false" outlineLevel="0" collapsed="false">
      <c r="A53" s="13" t="s">
        <v>240</v>
      </c>
      <c r="B53" s="13" t="s">
        <v>41</v>
      </c>
      <c r="C53" s="13" t="s">
        <v>42</v>
      </c>
      <c r="D53" s="13" t="s">
        <v>244</v>
      </c>
      <c r="E53" s="41" t="n">
        <f aca="false">B_도비!G9</f>
        <v>1040000</v>
      </c>
      <c r="F53" s="13" t="s">
        <v>193</v>
      </c>
      <c r="G53" s="13" t="s">
        <v>194</v>
      </c>
    </row>
    <row r="54" customFormat="false" ht="15" hidden="false" customHeight="false" outlineLevel="0" collapsed="false">
      <c r="A54" s="13" t="s">
        <v>240</v>
      </c>
      <c r="B54" s="13" t="s">
        <v>44</v>
      </c>
      <c r="C54" s="13" t="s">
        <v>245</v>
      </c>
      <c r="D54" s="13" t="s">
        <v>195</v>
      </c>
      <c r="E54" s="41" t="n">
        <f aca="false">B_도비!G10</f>
        <v>960000</v>
      </c>
      <c r="F54" s="13" t="s">
        <v>193</v>
      </c>
      <c r="G54" s="13"/>
    </row>
    <row r="55" customFormat="false" ht="15" hidden="false" customHeight="false" outlineLevel="0" collapsed="false">
      <c r="A55" s="13" t="s">
        <v>240</v>
      </c>
      <c r="B55" s="13" t="s">
        <v>47</v>
      </c>
      <c r="C55" s="13" t="s">
        <v>246</v>
      </c>
      <c r="D55" s="13" t="s">
        <v>196</v>
      </c>
      <c r="E55" s="41" t="n">
        <f aca="false">B_도비!G11</f>
        <v>2400000</v>
      </c>
      <c r="F55" s="13" t="s">
        <v>197</v>
      </c>
      <c r="G55" s="13"/>
    </row>
    <row r="56" customFormat="false" ht="15" hidden="false" customHeight="false" outlineLevel="0" collapsed="false">
      <c r="A56" s="13" t="s">
        <v>240</v>
      </c>
      <c r="B56" s="13" t="s">
        <v>47</v>
      </c>
      <c r="C56" s="13" t="s">
        <v>247</v>
      </c>
      <c r="D56" s="13" t="s">
        <v>198</v>
      </c>
      <c r="E56" s="41" t="n">
        <f aca="false">B_도비!G12</f>
        <v>1700000</v>
      </c>
      <c r="F56" s="13" t="s">
        <v>197</v>
      </c>
      <c r="G56" s="13"/>
    </row>
    <row r="57" customFormat="false" ht="15" hidden="false" customHeight="false" outlineLevel="0" collapsed="false">
      <c r="A57" s="13" t="s">
        <v>240</v>
      </c>
      <c r="B57" s="13" t="s">
        <v>47</v>
      </c>
      <c r="C57" s="13" t="s">
        <v>248</v>
      </c>
      <c r="D57" s="13" t="s">
        <v>249</v>
      </c>
      <c r="E57" s="41" t="n">
        <f aca="false">B_도비!G13</f>
        <v>3500000</v>
      </c>
      <c r="F57" s="13" t="s">
        <v>250</v>
      </c>
      <c r="G57" s="13"/>
    </row>
    <row r="58" customFormat="false" ht="23.85" hidden="false" customHeight="false" outlineLevel="0" collapsed="false">
      <c r="A58" s="13" t="s">
        <v>240</v>
      </c>
      <c r="B58" s="13" t="s">
        <v>251</v>
      </c>
      <c r="C58" s="13" t="s">
        <v>252</v>
      </c>
      <c r="D58" s="13" t="s">
        <v>201</v>
      </c>
      <c r="E58" s="41" t="n">
        <f aca="false">B_도비!G14</f>
        <v>1200000</v>
      </c>
      <c r="F58" s="13" t="s">
        <v>193</v>
      </c>
      <c r="G58" s="13"/>
    </row>
    <row r="59" customFormat="false" ht="15" hidden="false" customHeight="false" outlineLevel="0" collapsed="false">
      <c r="A59" s="13" t="s">
        <v>240</v>
      </c>
      <c r="B59" s="13" t="s">
        <v>253</v>
      </c>
      <c r="C59" s="13" t="s">
        <v>254</v>
      </c>
      <c r="D59" s="13" t="s">
        <v>201</v>
      </c>
      <c r="E59" s="41" t="n">
        <f aca="false">B_도비!G15</f>
        <v>800000</v>
      </c>
      <c r="F59" s="13" t="s">
        <v>193</v>
      </c>
      <c r="G59" s="13"/>
    </row>
    <row r="60" customFormat="false" ht="15" hidden="false" customHeight="false" outlineLevel="0" collapsed="false">
      <c r="A60" s="13" t="s">
        <v>240</v>
      </c>
      <c r="B60" s="13" t="s">
        <v>51</v>
      </c>
      <c r="C60" s="13" t="s">
        <v>52</v>
      </c>
      <c r="D60" s="13" t="s">
        <v>255</v>
      </c>
      <c r="E60" s="41" t="n">
        <f aca="false">B_도비!G16</f>
        <v>1280000</v>
      </c>
      <c r="F60" s="13" t="s">
        <v>193</v>
      </c>
      <c r="G60" s="13"/>
    </row>
    <row r="61" customFormat="false" ht="15" hidden="false" customHeight="false" outlineLevel="0" collapsed="false">
      <c r="A61" s="13" t="s">
        <v>240</v>
      </c>
      <c r="B61" s="13" t="s">
        <v>57</v>
      </c>
      <c r="C61" s="13" t="s">
        <v>58</v>
      </c>
      <c r="D61" s="13" t="s">
        <v>201</v>
      </c>
      <c r="E61" s="41" t="n">
        <f aca="false">B_도비!G17</f>
        <v>3000000</v>
      </c>
      <c r="F61" s="13" t="s">
        <v>202</v>
      </c>
      <c r="G61" s="13"/>
    </row>
    <row r="62" customFormat="false" ht="15" hidden="false" customHeight="false" outlineLevel="0" collapsed="false">
      <c r="A62" s="13" t="s">
        <v>240</v>
      </c>
      <c r="B62" s="13" t="s">
        <v>256</v>
      </c>
      <c r="C62" s="13" t="s">
        <v>257</v>
      </c>
      <c r="D62" s="13" t="s">
        <v>201</v>
      </c>
      <c r="E62" s="41" t="n">
        <f aca="false">B_도비!G18</f>
        <v>900000</v>
      </c>
      <c r="F62" s="13" t="s">
        <v>193</v>
      </c>
      <c r="G62" s="13"/>
    </row>
    <row r="63" customFormat="false" ht="15" hidden="false" customHeight="false" outlineLevel="0" collapsed="false">
      <c r="A63" s="13" t="s">
        <v>240</v>
      </c>
      <c r="B63" s="13" t="s">
        <v>59</v>
      </c>
      <c r="C63" s="13" t="s">
        <v>258</v>
      </c>
      <c r="D63" s="13" t="s">
        <v>201</v>
      </c>
      <c r="E63" s="41" t="n">
        <f aca="false">B_도비!G19</f>
        <v>1000000</v>
      </c>
      <c r="F63" s="13" t="s">
        <v>202</v>
      </c>
      <c r="G63" s="13"/>
    </row>
    <row r="64" customFormat="false" ht="15" hidden="false" customHeight="false" outlineLevel="0" collapsed="false">
      <c r="A64" s="13" t="s">
        <v>240</v>
      </c>
      <c r="B64" s="13" t="s">
        <v>61</v>
      </c>
      <c r="C64" s="13" t="s">
        <v>62</v>
      </c>
      <c r="D64" s="13" t="s">
        <v>259</v>
      </c>
      <c r="E64" s="41" t="n">
        <f aca="false">B_도비!G20</f>
        <v>1210000</v>
      </c>
      <c r="F64" s="13" t="s">
        <v>204</v>
      </c>
      <c r="G64" s="13"/>
    </row>
    <row r="65" customFormat="false" ht="15" hidden="false" customHeight="false" outlineLevel="0" collapsed="false">
      <c r="A65" s="13" t="s">
        <v>240</v>
      </c>
      <c r="B65" s="13" t="s">
        <v>64</v>
      </c>
      <c r="C65" s="13" t="s">
        <v>65</v>
      </c>
      <c r="D65" s="13" t="s">
        <v>205</v>
      </c>
      <c r="E65" s="41" t="n">
        <f aca="false">B_도비!G21</f>
        <v>500000</v>
      </c>
      <c r="F65" s="13" t="s">
        <v>197</v>
      </c>
      <c r="G65" s="13" t="s">
        <v>206</v>
      </c>
    </row>
    <row r="66" customFormat="false" ht="15" hidden="false" customHeight="false" outlineLevel="0" collapsed="false">
      <c r="A66" s="13" t="s">
        <v>240</v>
      </c>
      <c r="B66" s="13" t="s">
        <v>67</v>
      </c>
      <c r="C66" s="13" t="s">
        <v>68</v>
      </c>
      <c r="D66" s="13" t="s">
        <v>207</v>
      </c>
      <c r="E66" s="41" t="n">
        <f aca="false">B_도비!G22</f>
        <v>520000</v>
      </c>
      <c r="F66" s="13" t="s">
        <v>193</v>
      </c>
      <c r="G66" s="13"/>
    </row>
    <row r="67" customFormat="false" ht="15" hidden="false" customHeight="false" outlineLevel="0" collapsed="false">
      <c r="A67" s="13" t="s">
        <v>240</v>
      </c>
      <c r="B67" s="13" t="s">
        <v>70</v>
      </c>
      <c r="C67" s="13"/>
      <c r="D67" s="13" t="s">
        <v>201</v>
      </c>
      <c r="E67" s="41" t="n">
        <f aca="false">B_도비!G23</f>
        <v>380000</v>
      </c>
      <c r="F67" s="13" t="s">
        <v>193</v>
      </c>
      <c r="G67" s="13"/>
    </row>
    <row r="68" customFormat="false" ht="15" hidden="false" customHeight="false" outlineLevel="0" collapsed="false">
      <c r="A68" s="13" t="s">
        <v>240</v>
      </c>
      <c r="B68" s="13" t="s">
        <v>71</v>
      </c>
      <c r="C68" s="13" t="s">
        <v>72</v>
      </c>
      <c r="D68" s="13" t="s">
        <v>208</v>
      </c>
      <c r="E68" s="41" t="n">
        <f aca="false">B_도비!G24</f>
        <v>600000</v>
      </c>
      <c r="F68" s="13" t="s">
        <v>197</v>
      </c>
      <c r="G68" s="13"/>
    </row>
    <row r="69" customFormat="false" ht="23.85" hidden="false" customHeight="false" outlineLevel="0" collapsed="false">
      <c r="A69" s="20"/>
      <c r="B69" s="42" t="s">
        <v>73</v>
      </c>
      <c r="C69" s="20"/>
      <c r="D69" s="20"/>
      <c r="E69" s="43" t="n">
        <f aca="false">B_도비!$G$35-SUM(B_도비!$G$25:$G$27)</f>
        <v>6237000</v>
      </c>
      <c r="F69" s="20" t="s">
        <v>76</v>
      </c>
      <c r="G69" s="20"/>
    </row>
    <row r="70" customFormat="false" ht="15" hidden="false" customHeight="false" outlineLevel="0" collapsed="false">
      <c r="A70" s="20"/>
      <c r="B70" s="42" t="s">
        <v>209</v>
      </c>
      <c r="C70" s="20"/>
      <c r="D70" s="20"/>
      <c r="E70" s="43" t="n">
        <f aca="false">B_도비!$G$35</f>
        <v>33527000</v>
      </c>
      <c r="F70" s="20" t="s">
        <v>260</v>
      </c>
      <c r="G70" s="20"/>
    </row>
    <row r="72" customFormat="false" ht="23.85" hidden="false" customHeight="false" outlineLevel="0" collapsed="false">
      <c r="A72" s="13" t="s">
        <v>261</v>
      </c>
      <c r="B72" s="13" t="s">
        <v>80</v>
      </c>
      <c r="C72" s="13" t="s">
        <v>81</v>
      </c>
      <c r="D72" s="13" t="s">
        <v>211</v>
      </c>
      <c r="E72" s="41" t="n">
        <f aca="false">B_용접!G8</f>
        <v>4500000</v>
      </c>
      <c r="F72" s="13" t="s">
        <v>212</v>
      </c>
      <c r="G72" s="13" t="s">
        <v>213</v>
      </c>
    </row>
    <row r="73" customFormat="false" ht="23.85" hidden="false" customHeight="false" outlineLevel="0" collapsed="false">
      <c r="A73" s="13" t="s">
        <v>261</v>
      </c>
      <c r="B73" s="13" t="s">
        <v>83</v>
      </c>
      <c r="C73" s="13" t="s">
        <v>84</v>
      </c>
      <c r="D73" s="13" t="s">
        <v>214</v>
      </c>
      <c r="E73" s="41" t="n">
        <f aca="false">B_용접!G9</f>
        <v>2100000</v>
      </c>
      <c r="F73" s="13" t="s">
        <v>212</v>
      </c>
      <c r="G73" s="13" t="s">
        <v>215</v>
      </c>
    </row>
    <row r="74" customFormat="false" ht="15" hidden="false" customHeight="false" outlineLevel="0" collapsed="false">
      <c r="A74" s="13" t="s">
        <v>261</v>
      </c>
      <c r="B74" s="13" t="s">
        <v>86</v>
      </c>
      <c r="C74" s="13" t="s">
        <v>87</v>
      </c>
      <c r="D74" s="13" t="s">
        <v>216</v>
      </c>
      <c r="E74" s="41" t="n">
        <f aca="false">B_용접!G10</f>
        <v>1200000</v>
      </c>
      <c r="F74" s="13" t="s">
        <v>217</v>
      </c>
      <c r="G74" s="13" t="s">
        <v>194</v>
      </c>
    </row>
    <row r="75" customFormat="false" ht="15" hidden="false" customHeight="false" outlineLevel="0" collapsed="false">
      <c r="A75" s="13" t="s">
        <v>261</v>
      </c>
      <c r="B75" s="13" t="s">
        <v>89</v>
      </c>
      <c r="C75" s="13" t="s">
        <v>90</v>
      </c>
      <c r="D75" s="13" t="s">
        <v>218</v>
      </c>
      <c r="E75" s="41" t="n">
        <f aca="false">B_용접!G11</f>
        <v>800000</v>
      </c>
      <c r="F75" s="13" t="s">
        <v>217</v>
      </c>
      <c r="G75" s="13" t="s">
        <v>206</v>
      </c>
    </row>
    <row r="76" customFormat="false" ht="23.85" hidden="false" customHeight="false" outlineLevel="0" collapsed="false">
      <c r="A76" s="13" t="s">
        <v>261</v>
      </c>
      <c r="B76" s="13" t="s">
        <v>91</v>
      </c>
      <c r="C76" s="13" t="s">
        <v>92</v>
      </c>
      <c r="D76" s="13" t="s">
        <v>219</v>
      </c>
      <c r="E76" s="41" t="n">
        <f aca="false">B_용접!G12</f>
        <v>1250000</v>
      </c>
      <c r="F76" s="13" t="s">
        <v>220</v>
      </c>
      <c r="G76" s="13" t="s">
        <v>194</v>
      </c>
    </row>
    <row r="77" customFormat="false" ht="15" hidden="false" customHeight="false" outlineLevel="0" collapsed="false">
      <c r="A77" s="13" t="s">
        <v>261</v>
      </c>
      <c r="B77" s="13" t="s">
        <v>94</v>
      </c>
      <c r="C77" s="13" t="s">
        <v>95</v>
      </c>
      <c r="D77" s="13" t="s">
        <v>221</v>
      </c>
      <c r="E77" s="41" t="n">
        <f aca="false">B_용접!G13</f>
        <v>3600000</v>
      </c>
      <c r="F77" s="13" t="s">
        <v>197</v>
      </c>
      <c r="G77" s="13"/>
    </row>
    <row r="78" customFormat="false" ht="15" hidden="false" customHeight="false" outlineLevel="0" collapsed="false">
      <c r="A78" s="13" t="s">
        <v>261</v>
      </c>
      <c r="B78" s="13" t="s">
        <v>97</v>
      </c>
      <c r="C78" s="13" t="s">
        <v>98</v>
      </c>
      <c r="D78" s="13" t="s">
        <v>201</v>
      </c>
      <c r="E78" s="41" t="n">
        <f aca="false">B_용접!G14</f>
        <v>800000</v>
      </c>
      <c r="F78" s="13" t="s">
        <v>193</v>
      </c>
      <c r="G78" s="13"/>
    </row>
    <row r="79" customFormat="false" ht="23.85" hidden="false" customHeight="false" outlineLevel="0" collapsed="false">
      <c r="A79" s="13" t="s">
        <v>261</v>
      </c>
      <c r="B79" s="13" t="s">
        <v>99</v>
      </c>
      <c r="C79" s="13" t="s">
        <v>100</v>
      </c>
      <c r="D79" s="13" t="s">
        <v>222</v>
      </c>
      <c r="E79" s="41" t="n">
        <f aca="false">B_용접!G15</f>
        <v>3680000</v>
      </c>
      <c r="F79" s="13" t="s">
        <v>193</v>
      </c>
      <c r="G79" s="13"/>
    </row>
    <row r="80" customFormat="false" ht="15" hidden="false" customHeight="false" outlineLevel="0" collapsed="false">
      <c r="A80" s="13" t="s">
        <v>261</v>
      </c>
      <c r="B80" s="13" t="s">
        <v>101</v>
      </c>
      <c r="C80" s="13"/>
      <c r="D80" s="13" t="s">
        <v>223</v>
      </c>
      <c r="E80" s="41" t="n">
        <f aca="false">B_용접!G16</f>
        <v>1000000</v>
      </c>
      <c r="F80" s="13" t="s">
        <v>197</v>
      </c>
      <c r="G80" s="13"/>
    </row>
    <row r="81" customFormat="false" ht="15" hidden="false" customHeight="false" outlineLevel="0" collapsed="false">
      <c r="A81" s="13" t="s">
        <v>261</v>
      </c>
      <c r="B81" s="13" t="s">
        <v>102</v>
      </c>
      <c r="C81" s="13" t="s">
        <v>103</v>
      </c>
      <c r="D81" s="13" t="s">
        <v>224</v>
      </c>
      <c r="E81" s="41" t="n">
        <f aca="false">B_용접!G17</f>
        <v>2200000</v>
      </c>
      <c r="F81" s="13" t="s">
        <v>197</v>
      </c>
      <c r="G81" s="13"/>
    </row>
    <row r="82" customFormat="false" ht="15" hidden="false" customHeight="false" outlineLevel="0" collapsed="false">
      <c r="A82" s="13" t="s">
        <v>261</v>
      </c>
      <c r="B82" s="13" t="s">
        <v>71</v>
      </c>
      <c r="C82" s="13" t="s">
        <v>105</v>
      </c>
      <c r="D82" s="13" t="s">
        <v>225</v>
      </c>
      <c r="E82" s="41" t="n">
        <f aca="false">B_용접!G18</f>
        <v>1400000</v>
      </c>
      <c r="F82" s="13" t="s">
        <v>197</v>
      </c>
      <c r="G82" s="13"/>
    </row>
    <row r="83" customFormat="false" ht="23.85" hidden="false" customHeight="false" outlineLevel="0" collapsed="false">
      <c r="A83" s="20"/>
      <c r="B83" s="42" t="s">
        <v>73</v>
      </c>
      <c r="C83" s="20"/>
      <c r="D83" s="20"/>
      <c r="E83" s="43" t="n">
        <f aca="false">B_용접!$G$29-SUM(B_용접!$G$19:$G$21)</f>
        <v>5191000</v>
      </c>
      <c r="F83" s="20" t="s">
        <v>76</v>
      </c>
      <c r="G83" s="20"/>
    </row>
    <row r="84" customFormat="false" ht="15" hidden="false" customHeight="false" outlineLevel="0" collapsed="false">
      <c r="A84" s="20"/>
      <c r="B84" s="42" t="s">
        <v>209</v>
      </c>
      <c r="C84" s="20"/>
      <c r="D84" s="20"/>
      <c r="E84" s="43" t="n">
        <f aca="false">B_용접!$G$29</f>
        <v>27721000</v>
      </c>
      <c r="F84" s="20" t="s">
        <v>260</v>
      </c>
      <c r="G84" s="20"/>
    </row>
    <row r="86" customFormat="false" ht="23.85" hidden="false" customHeight="false" outlineLevel="0" collapsed="false">
      <c r="A86" s="13" t="s">
        <v>262</v>
      </c>
      <c r="B86" s="13" t="s">
        <v>263</v>
      </c>
      <c r="C86" s="13" t="s">
        <v>264</v>
      </c>
      <c r="D86" s="13" t="s">
        <v>265</v>
      </c>
      <c r="E86" s="41" t="n">
        <f aca="false">B_조방!G8</f>
        <v>0</v>
      </c>
      <c r="F86" s="13" t="s">
        <v>197</v>
      </c>
      <c r="G86" s="13"/>
    </row>
    <row r="87" customFormat="false" ht="15" hidden="false" customHeight="false" outlineLevel="0" collapsed="false">
      <c r="A87" s="13" t="s">
        <v>262</v>
      </c>
      <c r="B87" s="13" t="s">
        <v>99</v>
      </c>
      <c r="C87" s="13" t="s">
        <v>116</v>
      </c>
      <c r="D87" s="13" t="s">
        <v>201</v>
      </c>
      <c r="E87" s="41" t="n">
        <f aca="false">B_조방!G9</f>
        <v>420000</v>
      </c>
      <c r="F87" s="13" t="s">
        <v>193</v>
      </c>
      <c r="G87" s="13"/>
    </row>
    <row r="88" customFormat="false" ht="15" hidden="false" customHeight="false" outlineLevel="0" collapsed="false">
      <c r="A88" s="13" t="s">
        <v>262</v>
      </c>
      <c r="B88" s="13" t="s">
        <v>266</v>
      </c>
      <c r="C88" s="13" t="s">
        <v>267</v>
      </c>
      <c r="D88" s="13" t="s">
        <v>201</v>
      </c>
      <c r="E88" s="41" t="n">
        <f aca="false">B_조방!G10</f>
        <v>380000</v>
      </c>
      <c r="F88" s="13" t="s">
        <v>193</v>
      </c>
      <c r="G88" s="13"/>
    </row>
    <row r="89" customFormat="false" ht="15" hidden="false" customHeight="false" outlineLevel="0" collapsed="false">
      <c r="A89" s="13" t="s">
        <v>262</v>
      </c>
      <c r="B89" s="13" t="s">
        <v>120</v>
      </c>
      <c r="C89" s="13" t="s">
        <v>268</v>
      </c>
      <c r="D89" s="13" t="s">
        <v>269</v>
      </c>
      <c r="E89" s="41" t="n">
        <f aca="false">B_조방!G11</f>
        <v>700000</v>
      </c>
      <c r="F89" s="13" t="s">
        <v>193</v>
      </c>
      <c r="G89" s="13" t="s">
        <v>215</v>
      </c>
    </row>
    <row r="90" customFormat="false" ht="15" hidden="false" customHeight="false" outlineLevel="0" collapsed="false">
      <c r="A90" s="13" t="s">
        <v>262</v>
      </c>
      <c r="B90" s="13" t="s">
        <v>80</v>
      </c>
      <c r="C90" s="13" t="s">
        <v>270</v>
      </c>
      <c r="D90" s="13" t="s">
        <v>271</v>
      </c>
      <c r="E90" s="41" t="n">
        <f aca="false">B_조방!G12</f>
        <v>1000000</v>
      </c>
      <c r="F90" s="13" t="s">
        <v>193</v>
      </c>
      <c r="G90" s="13" t="s">
        <v>213</v>
      </c>
    </row>
    <row r="91" customFormat="false" ht="15" hidden="false" customHeight="false" outlineLevel="0" collapsed="false">
      <c r="A91" s="13" t="s">
        <v>262</v>
      </c>
      <c r="B91" s="13" t="s">
        <v>89</v>
      </c>
      <c r="C91" s="13" t="s">
        <v>272</v>
      </c>
      <c r="D91" s="13" t="s">
        <v>273</v>
      </c>
      <c r="E91" s="41" t="n">
        <f aca="false">B_조방!G13</f>
        <v>400000</v>
      </c>
      <c r="F91" s="13" t="s">
        <v>193</v>
      </c>
      <c r="G91" s="13" t="s">
        <v>206</v>
      </c>
    </row>
    <row r="92" customFormat="false" ht="15" hidden="false" customHeight="false" outlineLevel="0" collapsed="false">
      <c r="A92" s="13" t="s">
        <v>262</v>
      </c>
      <c r="B92" s="13" t="s">
        <v>91</v>
      </c>
      <c r="C92" s="13" t="s">
        <v>274</v>
      </c>
      <c r="D92" s="13" t="s">
        <v>275</v>
      </c>
      <c r="E92" s="41" t="n">
        <f aca="false">B_조방!G14</f>
        <v>250000</v>
      </c>
      <c r="F92" s="13" t="s">
        <v>193</v>
      </c>
      <c r="G92" s="13" t="s">
        <v>194</v>
      </c>
    </row>
    <row r="93" customFormat="false" ht="23.85" hidden="false" customHeight="false" outlineLevel="0" collapsed="false">
      <c r="A93" s="13" t="s">
        <v>262</v>
      </c>
      <c r="B93" s="13" t="s">
        <v>120</v>
      </c>
      <c r="C93" s="13" t="s">
        <v>276</v>
      </c>
      <c r="D93" s="13" t="s">
        <v>277</v>
      </c>
      <c r="E93" s="41" t="n">
        <f aca="false">B_조방!G15</f>
        <v>1400000</v>
      </c>
      <c r="F93" s="13" t="s">
        <v>278</v>
      </c>
      <c r="G93" s="13" t="s">
        <v>215</v>
      </c>
    </row>
    <row r="94" customFormat="false" ht="15" hidden="false" customHeight="false" outlineLevel="0" collapsed="false">
      <c r="A94" s="13" t="s">
        <v>262</v>
      </c>
      <c r="B94" s="13" t="s">
        <v>71</v>
      </c>
      <c r="C94" s="13" t="s">
        <v>105</v>
      </c>
      <c r="D94" s="13" t="s">
        <v>279</v>
      </c>
      <c r="E94" s="41" t="n">
        <f aca="false">B_조방!G16</f>
        <v>550000</v>
      </c>
      <c r="F94" s="13" t="s">
        <v>197</v>
      </c>
      <c r="G94" s="13"/>
    </row>
    <row r="95" customFormat="false" ht="23.85" hidden="false" customHeight="false" outlineLevel="0" collapsed="false">
      <c r="A95" s="20"/>
      <c r="B95" s="42" t="s">
        <v>73</v>
      </c>
      <c r="C95" s="20"/>
      <c r="D95" s="20"/>
      <c r="E95" s="43" t="n">
        <f aca="false">B_조방!$G$27-SUM(B_조방!$G$17:$G$19)</f>
        <v>1322000</v>
      </c>
      <c r="F95" s="20" t="s">
        <v>76</v>
      </c>
      <c r="G95" s="20"/>
    </row>
    <row r="96" customFormat="false" ht="15" hidden="false" customHeight="false" outlineLevel="0" collapsed="false">
      <c r="A96" s="20"/>
      <c r="B96" s="42" t="s">
        <v>209</v>
      </c>
      <c r="C96" s="20"/>
      <c r="D96" s="20"/>
      <c r="E96" s="43" t="n">
        <f aca="false">B_조방!$G$27</f>
        <v>6422000</v>
      </c>
      <c r="F96" s="20" t="s">
        <v>260</v>
      </c>
      <c r="G96" s="20"/>
    </row>
    <row r="98" customFormat="false" ht="15" hidden="false" customHeight="false" outlineLevel="0" collapsed="false">
      <c r="A98" s="40" t="s">
        <v>280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283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38</v>
      </c>
      <c r="C8" s="13" t="s">
        <v>39</v>
      </c>
      <c r="D8" s="11" t="s">
        <v>284</v>
      </c>
      <c r="E8" s="14" t="n">
        <v>15</v>
      </c>
      <c r="F8" s="14" t="n">
        <v>300000</v>
      </c>
      <c r="G8" s="14" t="n">
        <f aca="false">E8*F8</f>
        <v>4500000</v>
      </c>
      <c r="H8" s="13" t="s">
        <v>40</v>
      </c>
      <c r="I8" s="11" t="s">
        <v>158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284</v>
      </c>
      <c r="E9" s="14" t="n">
        <v>2</v>
      </c>
      <c r="F9" s="14" t="n">
        <v>260000</v>
      </c>
      <c r="G9" s="14" t="n">
        <f aca="false">E9*F9</f>
        <v>520000</v>
      </c>
      <c r="H9" s="13" t="s">
        <v>43</v>
      </c>
      <c r="I9" s="11" t="s">
        <v>158</v>
      </c>
    </row>
    <row r="10" customFormat="false" ht="19.5" hidden="false" customHeight="true" outlineLevel="0" collapsed="false">
      <c r="A10" s="11"/>
      <c r="B10" s="11" t="s">
        <v>44</v>
      </c>
      <c r="C10" s="13" t="s">
        <v>45</v>
      </c>
      <c r="D10" s="11" t="s">
        <v>284</v>
      </c>
      <c r="E10" s="14" t="n">
        <v>3</v>
      </c>
      <c r="F10" s="14" t="n">
        <v>320000</v>
      </c>
      <c r="G10" s="14" t="n">
        <f aca="false">E10*F10</f>
        <v>960000</v>
      </c>
      <c r="H10" s="13" t="s">
        <v>46</v>
      </c>
      <c r="I10" s="11" t="s">
        <v>158</v>
      </c>
    </row>
    <row r="11" customFormat="false" ht="19.5" hidden="false" customHeight="true" outlineLevel="0" collapsed="false">
      <c r="A11" s="11" t="s">
        <v>285</v>
      </c>
      <c r="B11" s="11" t="s">
        <v>47</v>
      </c>
      <c r="C11" s="13" t="s">
        <v>48</v>
      </c>
      <c r="D11" s="11" t="s">
        <v>286</v>
      </c>
      <c r="E11" s="14" t="n">
        <v>1</v>
      </c>
      <c r="F11" s="14" t="n">
        <v>2400000</v>
      </c>
      <c r="G11" s="14" t="n">
        <f aca="false">E11*F11</f>
        <v>2400000</v>
      </c>
      <c r="H11" s="13" t="s">
        <v>49</v>
      </c>
      <c r="I11" s="11" t="s">
        <v>71</v>
      </c>
    </row>
    <row r="12" customFormat="false" ht="19.5" hidden="false" customHeight="true" outlineLevel="0" collapsed="false">
      <c r="A12" s="11"/>
      <c r="B12" s="11" t="s">
        <v>47</v>
      </c>
      <c r="C12" s="13" t="s">
        <v>50</v>
      </c>
      <c r="D12" s="11" t="s">
        <v>286</v>
      </c>
      <c r="E12" s="14" t="n">
        <v>1</v>
      </c>
      <c r="F12" s="14" t="n">
        <v>1700000</v>
      </c>
      <c r="G12" s="14" t="n">
        <f aca="false">E12*F12</f>
        <v>1700000</v>
      </c>
      <c r="H12" s="13" t="s">
        <v>49</v>
      </c>
      <c r="I12" s="11" t="s">
        <v>71</v>
      </c>
    </row>
    <row r="13" customFormat="false" ht="19.5" hidden="false" customHeight="true" outlineLevel="0" collapsed="false">
      <c r="A13" s="11"/>
      <c r="B13" s="11" t="s">
        <v>51</v>
      </c>
      <c r="C13" s="13" t="s">
        <v>52</v>
      </c>
      <c r="D13" s="11" t="s">
        <v>75</v>
      </c>
      <c r="E13" s="14" t="n">
        <v>1</v>
      </c>
      <c r="F13" s="14" t="n">
        <v>640000</v>
      </c>
      <c r="G13" s="14" t="n">
        <f aca="false">E13*F13</f>
        <v>640000</v>
      </c>
      <c r="H13" s="13" t="s">
        <v>53</v>
      </c>
      <c r="I13" s="11" t="s">
        <v>71</v>
      </c>
    </row>
    <row r="14" customFormat="false" ht="19.5" hidden="false" customHeight="true" outlineLevel="0" collapsed="false">
      <c r="A14" s="11"/>
      <c r="B14" s="11" t="s">
        <v>54</v>
      </c>
      <c r="C14" s="13" t="s">
        <v>55</v>
      </c>
      <c r="D14" s="11" t="s">
        <v>287</v>
      </c>
      <c r="E14" s="14" t="n">
        <v>1</v>
      </c>
      <c r="F14" s="14" t="n">
        <v>2000000</v>
      </c>
      <c r="G14" s="14" t="n">
        <f aca="false">E14*F14</f>
        <v>2000000</v>
      </c>
      <c r="H14" s="13" t="s">
        <v>56</v>
      </c>
      <c r="I14" s="11" t="s">
        <v>71</v>
      </c>
    </row>
    <row r="15" customFormat="false" ht="19.5" hidden="false" customHeight="true" outlineLevel="0" collapsed="false">
      <c r="A15" s="11"/>
      <c r="B15" s="11" t="s">
        <v>57</v>
      </c>
      <c r="C15" s="13" t="s">
        <v>58</v>
      </c>
      <c r="D15" s="11" t="s">
        <v>287</v>
      </c>
      <c r="E15" s="14" t="n">
        <v>1</v>
      </c>
      <c r="F15" s="14" t="n">
        <v>3000000</v>
      </c>
      <c r="G15" s="14" t="n">
        <f aca="false">E15*F15</f>
        <v>3000000</v>
      </c>
      <c r="H15" s="13"/>
      <c r="I15" s="11" t="s">
        <v>71</v>
      </c>
    </row>
    <row r="16" customFormat="false" ht="19.5" hidden="false" customHeight="true" outlineLevel="0" collapsed="false">
      <c r="A16" s="11" t="s">
        <v>157</v>
      </c>
      <c r="B16" s="11" t="s">
        <v>59</v>
      </c>
      <c r="C16" s="13" t="s">
        <v>60</v>
      </c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157</v>
      </c>
    </row>
    <row r="17" customFormat="false" ht="19.5" hidden="false" customHeight="true" outlineLevel="0" collapsed="false">
      <c r="A17" s="11" t="s">
        <v>288</v>
      </c>
      <c r="B17" s="11" t="s">
        <v>61</v>
      </c>
      <c r="C17" s="13" t="s">
        <v>62</v>
      </c>
      <c r="D17" s="11" t="s">
        <v>289</v>
      </c>
      <c r="E17" s="14" t="n">
        <v>242</v>
      </c>
      <c r="F17" s="14" t="n">
        <v>5000</v>
      </c>
      <c r="G17" s="14" t="n">
        <f aca="false">E17*F17</f>
        <v>1210000</v>
      </c>
      <c r="H17" s="13" t="s">
        <v>63</v>
      </c>
      <c r="I17" s="11" t="s">
        <v>71</v>
      </c>
    </row>
    <row r="18" customFormat="false" ht="19.5" hidden="false" customHeight="true" outlineLevel="0" collapsed="false">
      <c r="A18" s="11"/>
      <c r="B18" s="11" t="s">
        <v>64</v>
      </c>
      <c r="C18" s="13" t="s">
        <v>65</v>
      </c>
      <c r="D18" s="11" t="s">
        <v>284</v>
      </c>
      <c r="E18" s="14" t="n">
        <v>2</v>
      </c>
      <c r="F18" s="14" t="n">
        <v>250000</v>
      </c>
      <c r="G18" s="14" t="n">
        <f aca="false">E18*F18</f>
        <v>500000</v>
      </c>
      <c r="H18" s="13" t="s">
        <v>66</v>
      </c>
      <c r="I18" s="11" t="s">
        <v>158</v>
      </c>
    </row>
    <row r="19" customFormat="false" ht="19.5" hidden="false" customHeight="true" outlineLevel="0" collapsed="false">
      <c r="A19" s="11"/>
      <c r="B19" s="11" t="s">
        <v>67</v>
      </c>
      <c r="C19" s="13" t="s">
        <v>68</v>
      </c>
      <c r="D19" s="11" t="s">
        <v>290</v>
      </c>
      <c r="E19" s="14" t="n">
        <v>2</v>
      </c>
      <c r="F19" s="14" t="n">
        <v>260000</v>
      </c>
      <c r="G19" s="14" t="n">
        <f aca="false">E19*F19</f>
        <v>520000</v>
      </c>
      <c r="H19" s="13" t="s">
        <v>69</v>
      </c>
      <c r="I19" s="11" t="s">
        <v>71</v>
      </c>
    </row>
    <row r="20" customFormat="false" ht="19.5" hidden="false" customHeight="true" outlineLevel="0" collapsed="false">
      <c r="A20" s="11"/>
      <c r="B20" s="11" t="s">
        <v>70</v>
      </c>
      <c r="C20" s="13"/>
      <c r="D20" s="11" t="s">
        <v>75</v>
      </c>
      <c r="E20" s="14" t="n">
        <v>1</v>
      </c>
      <c r="F20" s="14" t="n">
        <v>380000</v>
      </c>
      <c r="G20" s="14" t="n">
        <f aca="false">E20*F20</f>
        <v>380000</v>
      </c>
      <c r="H20" s="13"/>
      <c r="I20" s="11" t="s">
        <v>157</v>
      </c>
    </row>
    <row r="21" customFormat="false" ht="19.5" hidden="false" customHeight="true" outlineLevel="0" collapsed="false">
      <c r="A21" s="11" t="s">
        <v>71</v>
      </c>
      <c r="B21" s="11" t="s">
        <v>71</v>
      </c>
      <c r="C21" s="13" t="s">
        <v>72</v>
      </c>
      <c r="D21" s="11" t="s">
        <v>75</v>
      </c>
      <c r="E21" s="14" t="n">
        <v>1</v>
      </c>
      <c r="F21" s="14" t="n">
        <v>600000</v>
      </c>
      <c r="G21" s="14" t="n">
        <f aca="false">E21*F21</f>
        <v>600000</v>
      </c>
      <c r="H21" s="13"/>
      <c r="I21" s="11" t="s">
        <v>71</v>
      </c>
    </row>
    <row r="22" customFormat="false" ht="19.5" hidden="false" customHeight="true" outlineLevel="0" collapsed="false">
      <c r="A22" s="45" t="s">
        <v>291</v>
      </c>
      <c r="B22" s="45"/>
      <c r="C22" s="45"/>
      <c r="D22" s="45"/>
      <c r="E22" s="45"/>
      <c r="F22" s="45"/>
      <c r="G22" s="46" t="n">
        <f aca="false">SUMIF($I$8:$I$21,"재료비",$G$8:$G$21)</f>
        <v>1380000</v>
      </c>
      <c r="H22" s="20"/>
      <c r="I22" s="20"/>
    </row>
    <row r="23" customFormat="false" ht="19.5" hidden="false" customHeight="true" outlineLevel="0" collapsed="false">
      <c r="A23" s="45" t="s">
        <v>292</v>
      </c>
      <c r="B23" s="45"/>
      <c r="C23" s="45"/>
      <c r="D23" s="45"/>
      <c r="E23" s="45"/>
      <c r="F23" s="45"/>
      <c r="G23" s="46" t="n">
        <f aca="false">SUMIF($I$8:$I$21,"노무비",$G$8:$G$21)</f>
        <v>6480000</v>
      </c>
      <c r="H23" s="20"/>
      <c r="I23" s="20"/>
    </row>
    <row r="24" customFormat="false" ht="19.5" hidden="false" customHeight="true" outlineLevel="0" collapsed="false">
      <c r="A24" s="45" t="s">
        <v>293</v>
      </c>
      <c r="B24" s="45"/>
      <c r="C24" s="45"/>
      <c r="D24" s="45"/>
      <c r="E24" s="45"/>
      <c r="F24" s="45"/>
      <c r="G24" s="46" t="n">
        <f aca="false">SUMIF($I$8:$I$21,"경비",$G$8:$G$21)</f>
        <v>12070000</v>
      </c>
      <c r="H24" s="20"/>
      <c r="I24" s="20"/>
    </row>
    <row r="25" customFormat="false" ht="19.5" hidden="false" customHeight="true" outlineLevel="0" collapsed="false">
      <c r="A25" s="45" t="s">
        <v>159</v>
      </c>
      <c r="B25" s="45"/>
      <c r="C25" s="45"/>
      <c r="D25" s="45"/>
      <c r="E25" s="45"/>
      <c r="F25" s="45"/>
      <c r="G25" s="46" t="n">
        <f aca="false">G23*요율근거!$C$5</f>
        <v>230688</v>
      </c>
      <c r="H25" s="20" t="s">
        <v>294</v>
      </c>
      <c r="I25" s="20"/>
    </row>
    <row r="26" customFormat="false" ht="19.5" hidden="false" customHeight="true" outlineLevel="0" collapsed="false">
      <c r="A26" s="45" t="s">
        <v>160</v>
      </c>
      <c r="B26" s="45"/>
      <c r="C26" s="45"/>
      <c r="D26" s="45"/>
      <c r="E26" s="45"/>
      <c r="F26" s="45"/>
      <c r="G26" s="46" t="n">
        <f aca="false">G23*요율근거!$C$6</f>
        <v>74520</v>
      </c>
      <c r="H26" s="20" t="s">
        <v>295</v>
      </c>
      <c r="I26" s="20"/>
    </row>
    <row r="27" customFormat="false" ht="19.5" hidden="false" customHeight="true" outlineLevel="0" collapsed="false">
      <c r="A27" s="45" t="s">
        <v>161</v>
      </c>
      <c r="B27" s="45"/>
      <c r="C27" s="45"/>
      <c r="D27" s="45"/>
      <c r="E27" s="45"/>
      <c r="F27" s="45"/>
      <c r="G27" s="46" t="n">
        <f aca="false">(G22+G23)*요율근거!$C$7</f>
        <v>244446</v>
      </c>
      <c r="H27" s="20" t="s">
        <v>296</v>
      </c>
      <c r="I27" s="20"/>
    </row>
    <row r="28" customFormat="false" ht="19.5" hidden="false" customHeight="true" outlineLevel="0" collapsed="false">
      <c r="A28" s="18" t="s">
        <v>162</v>
      </c>
      <c r="B28" s="18"/>
      <c r="C28" s="18"/>
      <c r="D28" s="18"/>
      <c r="E28" s="18"/>
      <c r="F28" s="18"/>
      <c r="G28" s="19" t="n">
        <f aca="false">SUM(G22:G27)</f>
        <v>20479654</v>
      </c>
      <c r="H28" s="20"/>
      <c r="I28" s="20"/>
    </row>
    <row r="29" customFormat="false" ht="19.5" hidden="false" customHeight="true" outlineLevel="0" collapsed="false">
      <c r="A29" s="45" t="s">
        <v>163</v>
      </c>
      <c r="B29" s="45"/>
      <c r="C29" s="45"/>
      <c r="D29" s="45"/>
      <c r="E29" s="45"/>
      <c r="F29" s="45"/>
      <c r="G29" s="46" t="n">
        <f aca="false">G28*요율근거!$C$8</f>
        <v>1023982.7</v>
      </c>
      <c r="H29" s="20" t="s">
        <v>297</v>
      </c>
      <c r="I29" s="20"/>
    </row>
    <row r="30" customFormat="false" ht="19.5" hidden="false" customHeight="true" outlineLevel="0" collapsed="false">
      <c r="A30" s="45" t="s">
        <v>164</v>
      </c>
      <c r="B30" s="45"/>
      <c r="C30" s="45"/>
      <c r="D30" s="45"/>
      <c r="E30" s="45"/>
      <c r="F30" s="45"/>
      <c r="G30" s="46" t="n">
        <f aca="false">(G23+G24+G25+G26+G27+G29)*요율근거!$C$9</f>
        <v>3018545.505</v>
      </c>
      <c r="H30" s="20" t="s">
        <v>298</v>
      </c>
      <c r="I30" s="20"/>
    </row>
    <row r="31" customFormat="false" ht="19.5" hidden="false" customHeight="true" outlineLevel="0" collapsed="false">
      <c r="A31" s="45" t="s">
        <v>165</v>
      </c>
      <c r="B31" s="45"/>
      <c r="C31" s="45"/>
      <c r="D31" s="45"/>
      <c r="E31" s="45"/>
      <c r="F31" s="45"/>
      <c r="G31" s="46" t="n">
        <f aca="false">-MOD(G28+G29+G30,1000)</f>
        <v>-182.204999998212</v>
      </c>
      <c r="H31" s="20" t="s">
        <v>299</v>
      </c>
      <c r="I31" s="20"/>
    </row>
    <row r="32" customFormat="false" ht="19.5" hidden="false" customHeight="true" outlineLevel="0" collapsed="false">
      <c r="A32" s="47" t="s">
        <v>209</v>
      </c>
      <c r="B32" s="47"/>
      <c r="C32" s="47"/>
      <c r="D32" s="47"/>
      <c r="E32" s="47"/>
      <c r="F32" s="47"/>
      <c r="G32" s="48" t="n">
        <f aca="false">G28+G29+G30+G31</f>
        <v>24522000</v>
      </c>
      <c r="H32" s="38" t="s">
        <v>300</v>
      </c>
      <c r="I32" s="38"/>
    </row>
    <row r="34" customFormat="false" ht="11.9" hidden="false" customHeight="false" outlineLevel="0" collapsed="false">
      <c r="A34" s="49" t="s">
        <v>301</v>
      </c>
      <c r="B34" s="49"/>
      <c r="C34" s="49"/>
      <c r="D34" s="49"/>
      <c r="E34" s="49"/>
      <c r="F34" s="49"/>
      <c r="G34" s="49"/>
      <c r="H34" s="49"/>
      <c r="I34" s="49"/>
    </row>
    <row r="35" customFormat="false" ht="11.9" hidden="false" customHeight="false" outlineLevel="0" collapsed="false">
      <c r="A35" s="49" t="s">
        <v>302</v>
      </c>
      <c r="B35" s="49"/>
      <c r="C35" s="49"/>
      <c r="D35" s="49"/>
      <c r="E35" s="49"/>
      <c r="F35" s="49"/>
      <c r="G35" s="49"/>
      <c r="H35" s="49"/>
      <c r="I35" s="49"/>
    </row>
  </sheetData>
  <mergeCells count="30">
    <mergeCell ref="A1:I2"/>
    <mergeCell ref="A3:I3"/>
    <mergeCell ref="A5:I5"/>
    <mergeCell ref="A8:A10"/>
    <mergeCell ref="A11:A15"/>
    <mergeCell ref="A17:A20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4:I34"/>
    <mergeCell ref="A35:I35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303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80</v>
      </c>
      <c r="C8" s="13" t="s">
        <v>81</v>
      </c>
      <c r="D8" s="11" t="s">
        <v>284</v>
      </c>
      <c r="E8" s="14" t="n">
        <v>9</v>
      </c>
      <c r="F8" s="14" t="n">
        <v>500000</v>
      </c>
      <c r="G8" s="14" t="n">
        <f aca="false">E8*F8</f>
        <v>4500000</v>
      </c>
      <c r="H8" s="13" t="s">
        <v>82</v>
      </c>
      <c r="I8" s="11" t="s">
        <v>158</v>
      </c>
    </row>
    <row r="9" customFormat="false" ht="19.5" hidden="false" customHeight="true" outlineLevel="0" collapsed="false">
      <c r="A9" s="11"/>
      <c r="B9" s="11" t="s">
        <v>83</v>
      </c>
      <c r="C9" s="13" t="s">
        <v>84</v>
      </c>
      <c r="D9" s="11" t="s">
        <v>284</v>
      </c>
      <c r="E9" s="14" t="n">
        <v>6</v>
      </c>
      <c r="F9" s="14" t="n">
        <v>350000</v>
      </c>
      <c r="G9" s="14" t="n">
        <f aca="false">E9*F9</f>
        <v>2100000</v>
      </c>
      <c r="H9" s="13" t="s">
        <v>85</v>
      </c>
      <c r="I9" s="11" t="s">
        <v>158</v>
      </c>
    </row>
    <row r="10" customFormat="false" ht="19.5" hidden="false" customHeight="true" outlineLevel="0" collapsed="false">
      <c r="A10" s="11"/>
      <c r="B10" s="11" t="s">
        <v>86</v>
      </c>
      <c r="C10" s="13" t="s">
        <v>87</v>
      </c>
      <c r="D10" s="11" t="s">
        <v>284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88</v>
      </c>
      <c r="I10" s="11" t="s">
        <v>158</v>
      </c>
    </row>
    <row r="11" customFormat="false" ht="19.5" hidden="false" customHeight="true" outlineLevel="0" collapsed="false">
      <c r="A11" s="11"/>
      <c r="B11" s="11" t="s">
        <v>89</v>
      </c>
      <c r="C11" s="13" t="s">
        <v>90</v>
      </c>
      <c r="D11" s="11" t="s">
        <v>284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88</v>
      </c>
      <c r="I11" s="11" t="s">
        <v>158</v>
      </c>
    </row>
    <row r="12" customFormat="false" ht="19.5" hidden="false" customHeight="true" outlineLevel="0" collapsed="false">
      <c r="A12" s="11"/>
      <c r="B12" s="11" t="s">
        <v>91</v>
      </c>
      <c r="C12" s="13" t="s">
        <v>92</v>
      </c>
      <c r="D12" s="11" t="s">
        <v>284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93</v>
      </c>
      <c r="I12" s="11" t="s">
        <v>158</v>
      </c>
    </row>
    <row r="13" customFormat="false" ht="19.5" hidden="false" customHeight="true" outlineLevel="0" collapsed="false">
      <c r="A13" s="11" t="s">
        <v>285</v>
      </c>
      <c r="B13" s="11" t="s">
        <v>94</v>
      </c>
      <c r="C13" s="13" t="s">
        <v>95</v>
      </c>
      <c r="D13" s="11" t="s">
        <v>286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96</v>
      </c>
      <c r="I13" s="11" t="s">
        <v>71</v>
      </c>
    </row>
    <row r="14" customFormat="false" ht="19.5" hidden="false" customHeight="true" outlineLevel="0" collapsed="false">
      <c r="A14" s="11"/>
      <c r="B14" s="11" t="s">
        <v>97</v>
      </c>
      <c r="C14" s="13" t="s">
        <v>98</v>
      </c>
      <c r="D14" s="11" t="s">
        <v>287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71</v>
      </c>
    </row>
    <row r="15" customFormat="false" ht="19.5" hidden="false" customHeight="true" outlineLevel="0" collapsed="false">
      <c r="A15" s="11" t="s">
        <v>157</v>
      </c>
      <c r="B15" s="11" t="s">
        <v>99</v>
      </c>
      <c r="C15" s="13" t="s">
        <v>100</v>
      </c>
      <c r="D15" s="11" t="s">
        <v>75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157</v>
      </c>
    </row>
    <row r="16" customFormat="false" ht="19.5" hidden="false" customHeight="true" outlineLevel="0" collapsed="false">
      <c r="A16" s="11" t="s">
        <v>285</v>
      </c>
      <c r="B16" s="11" t="s">
        <v>101</v>
      </c>
      <c r="C16" s="13"/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71</v>
      </c>
    </row>
    <row r="17" customFormat="false" ht="19.5" hidden="false" customHeight="true" outlineLevel="0" collapsed="false">
      <c r="A17" s="11"/>
      <c r="B17" s="11" t="s">
        <v>102</v>
      </c>
      <c r="C17" s="13" t="s">
        <v>103</v>
      </c>
      <c r="D17" s="11" t="s">
        <v>286</v>
      </c>
      <c r="E17" s="14" t="n">
        <v>22</v>
      </c>
      <c r="F17" s="14" t="n">
        <v>100000</v>
      </c>
      <c r="G17" s="14" t="n">
        <f aca="false">E17*F17</f>
        <v>2200000</v>
      </c>
      <c r="H17" s="13" t="s">
        <v>104</v>
      </c>
      <c r="I17" s="11" t="s">
        <v>71</v>
      </c>
    </row>
    <row r="18" customFormat="false" ht="19.5" hidden="false" customHeight="true" outlineLevel="0" collapsed="false">
      <c r="A18" s="11" t="s">
        <v>71</v>
      </c>
      <c r="B18" s="11" t="s">
        <v>71</v>
      </c>
      <c r="C18" s="13" t="s">
        <v>105</v>
      </c>
      <c r="D18" s="11" t="s">
        <v>75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106</v>
      </c>
      <c r="I18" s="11" t="s">
        <v>71</v>
      </c>
    </row>
    <row r="19" customFormat="false" ht="19.5" hidden="false" customHeight="true" outlineLevel="0" collapsed="false">
      <c r="A19" s="45" t="s">
        <v>291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5" t="s">
        <v>292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5" t="s">
        <v>293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20"/>
      <c r="I21" s="20"/>
    </row>
    <row r="22" customFormat="false" ht="19.5" hidden="false" customHeight="true" outlineLevel="0" collapsed="false">
      <c r="A22" s="45" t="s">
        <v>159</v>
      </c>
      <c r="B22" s="45"/>
      <c r="C22" s="45"/>
      <c r="D22" s="45"/>
      <c r="E22" s="45"/>
      <c r="F22" s="45"/>
      <c r="G22" s="46" t="n">
        <f aca="false">G20*요율근거!$C$5</f>
        <v>350660</v>
      </c>
      <c r="H22" s="20" t="s">
        <v>294</v>
      </c>
      <c r="I22" s="20"/>
    </row>
    <row r="23" customFormat="false" ht="19.5" hidden="false" customHeight="true" outlineLevel="0" collapsed="false">
      <c r="A23" s="45" t="s">
        <v>160</v>
      </c>
      <c r="B23" s="45"/>
      <c r="C23" s="45"/>
      <c r="D23" s="45"/>
      <c r="E23" s="45"/>
      <c r="F23" s="45"/>
      <c r="G23" s="46" t="n">
        <f aca="false">G20*요율근거!$C$6</f>
        <v>113275</v>
      </c>
      <c r="H23" s="20" t="s">
        <v>295</v>
      </c>
      <c r="I23" s="20"/>
    </row>
    <row r="24" customFormat="false" ht="19.5" hidden="false" customHeight="true" outlineLevel="0" collapsed="false">
      <c r="A24" s="45" t="s">
        <v>161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20" t="s">
        <v>296</v>
      </c>
      <c r="I24" s="20"/>
    </row>
    <row r="25" customFormat="false" ht="19.5" hidden="false" customHeight="true" outlineLevel="0" collapsed="false">
      <c r="A25" s="18" t="s">
        <v>162</v>
      </c>
      <c r="B25" s="18"/>
      <c r="C25" s="18"/>
      <c r="D25" s="18"/>
      <c r="E25" s="18"/>
      <c r="F25" s="18"/>
      <c r="G25" s="19" t="n">
        <f aca="false">SUM(G19:G24)</f>
        <v>23414718</v>
      </c>
      <c r="H25" s="20"/>
      <c r="I25" s="20"/>
    </row>
    <row r="26" customFormat="false" ht="19.5" hidden="false" customHeight="true" outlineLevel="0" collapsed="false">
      <c r="A26" s="45" t="s">
        <v>163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20" t="s">
        <v>297</v>
      </c>
      <c r="I26" s="20"/>
    </row>
    <row r="27" customFormat="false" ht="19.5" hidden="false" customHeight="true" outlineLevel="0" collapsed="false">
      <c r="A27" s="45" t="s">
        <v>164</v>
      </c>
      <c r="B27" s="45"/>
      <c r="C27" s="45"/>
      <c r="D27" s="45"/>
      <c r="E27" s="45"/>
      <c r="F27" s="45"/>
      <c r="G27" s="46" t="n">
        <f aca="false">(G20+G21+G22+G23+G24+G26)*요율근거!$C$10</f>
        <v>3135818.085</v>
      </c>
      <c r="H27" s="20" t="s">
        <v>298</v>
      </c>
      <c r="I27" s="20"/>
    </row>
    <row r="28" customFormat="false" ht="19.5" hidden="false" customHeight="true" outlineLevel="0" collapsed="false">
      <c r="A28" s="45" t="s">
        <v>165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20" t="s">
        <v>299</v>
      </c>
      <c r="I28" s="20"/>
    </row>
    <row r="29" customFormat="false" ht="19.5" hidden="false" customHeight="true" outlineLevel="0" collapsed="false">
      <c r="A29" s="47" t="s">
        <v>209</v>
      </c>
      <c r="B29" s="47"/>
      <c r="C29" s="47"/>
      <c r="D29" s="47"/>
      <c r="E29" s="47"/>
      <c r="F29" s="47"/>
      <c r="G29" s="48" t="n">
        <f aca="false">G25+G26+G27+G28</f>
        <v>27721000</v>
      </c>
      <c r="H29" s="38" t="s">
        <v>300</v>
      </c>
      <c r="I29" s="38"/>
    </row>
    <row r="31" customFormat="false" ht="11.9" hidden="false" customHeight="false" outlineLevel="0" collapsed="false">
      <c r="A31" s="49" t="s">
        <v>301</v>
      </c>
      <c r="B31" s="49"/>
      <c r="C31" s="49"/>
      <c r="D31" s="49"/>
      <c r="E31" s="49"/>
      <c r="F31" s="49"/>
      <c r="G31" s="49"/>
      <c r="H31" s="49"/>
      <c r="I31" s="49"/>
    </row>
    <row r="32" customFormat="false" ht="11.9" hidden="false" customHeight="false" outlineLevel="0" collapsed="false">
      <c r="A32" s="49" t="s">
        <v>302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304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157</v>
      </c>
      <c r="B8" s="11" t="s">
        <v>110</v>
      </c>
      <c r="C8" s="13" t="s">
        <v>111</v>
      </c>
      <c r="D8" s="11" t="s">
        <v>305</v>
      </c>
      <c r="E8" s="14" t="n">
        <v>9991</v>
      </c>
      <c r="F8" s="14" t="n">
        <v>700</v>
      </c>
      <c r="G8" s="14" t="n">
        <f aca="false">E8*F8</f>
        <v>6993700</v>
      </c>
      <c r="H8" s="13" t="s">
        <v>112</v>
      </c>
      <c r="I8" s="11" t="s">
        <v>157</v>
      </c>
    </row>
    <row r="9" customFormat="false" ht="19.5" hidden="false" customHeight="true" outlineLevel="0" collapsed="false">
      <c r="A9" s="11"/>
      <c r="B9" s="11" t="s">
        <v>113</v>
      </c>
      <c r="C9" s="13"/>
      <c r="D9" s="11" t="s">
        <v>75</v>
      </c>
      <c r="E9" s="14" t="n">
        <v>1</v>
      </c>
      <c r="F9" s="14" t="n">
        <v>160000</v>
      </c>
      <c r="G9" s="14" t="n">
        <f aca="false">E9*F9</f>
        <v>160000</v>
      </c>
      <c r="H9" s="13"/>
      <c r="I9" s="11" t="s">
        <v>157</v>
      </c>
    </row>
    <row r="10" customFormat="false" ht="19.5" hidden="false" customHeight="true" outlineLevel="0" collapsed="false">
      <c r="A10" s="11"/>
      <c r="B10" s="11" t="s">
        <v>114</v>
      </c>
      <c r="C10" s="13"/>
      <c r="D10" s="11" t="s">
        <v>75</v>
      </c>
      <c r="E10" s="14" t="n">
        <v>1</v>
      </c>
      <c r="F10" s="14" t="n">
        <v>160000</v>
      </c>
      <c r="G10" s="14" t="n">
        <f aca="false">E10*F10</f>
        <v>160000</v>
      </c>
      <c r="H10" s="13" t="s">
        <v>115</v>
      </c>
      <c r="I10" s="11" t="s">
        <v>157</v>
      </c>
    </row>
    <row r="11" customFormat="false" ht="19.5" hidden="false" customHeight="true" outlineLevel="0" collapsed="false">
      <c r="A11" s="11"/>
      <c r="B11" s="11" t="s">
        <v>99</v>
      </c>
      <c r="C11" s="13" t="s">
        <v>116</v>
      </c>
      <c r="D11" s="11" t="s">
        <v>75</v>
      </c>
      <c r="E11" s="14" t="n">
        <v>1</v>
      </c>
      <c r="F11" s="14" t="n">
        <v>1000000</v>
      </c>
      <c r="G11" s="14" t="n">
        <f aca="false">E11*F11</f>
        <v>1000000</v>
      </c>
      <c r="H11" s="13"/>
      <c r="I11" s="11" t="s">
        <v>157</v>
      </c>
    </row>
    <row r="12" customFormat="false" ht="19.5" hidden="false" customHeight="true" outlineLevel="0" collapsed="false">
      <c r="A12" s="11"/>
      <c r="B12" s="11" t="s">
        <v>117</v>
      </c>
      <c r="C12" s="13" t="s">
        <v>118</v>
      </c>
      <c r="D12" s="11" t="s">
        <v>75</v>
      </c>
      <c r="E12" s="14" t="n">
        <v>1</v>
      </c>
      <c r="F12" s="14" t="n">
        <v>420000</v>
      </c>
      <c r="G12" s="14" t="n">
        <f aca="false">E12*F12</f>
        <v>420000</v>
      </c>
      <c r="H12" s="13" t="s">
        <v>119</v>
      </c>
      <c r="I12" s="11" t="s">
        <v>157</v>
      </c>
    </row>
    <row r="13" customFormat="false" ht="19.5" hidden="false" customHeight="true" outlineLevel="0" collapsed="false">
      <c r="A13" s="11" t="s">
        <v>158</v>
      </c>
      <c r="B13" s="11" t="s">
        <v>120</v>
      </c>
      <c r="C13" s="13" t="s">
        <v>121</v>
      </c>
      <c r="D13" s="11" t="s">
        <v>284</v>
      </c>
      <c r="E13" s="14" t="n">
        <v>6</v>
      </c>
      <c r="F13" s="14" t="n">
        <v>350000</v>
      </c>
      <c r="G13" s="14" t="n">
        <f aca="false">E13*F13</f>
        <v>2100000</v>
      </c>
      <c r="H13" s="13" t="s">
        <v>85</v>
      </c>
      <c r="I13" s="11" t="s">
        <v>158</v>
      </c>
    </row>
    <row r="14" customFormat="false" ht="19.5" hidden="false" customHeight="true" outlineLevel="0" collapsed="false">
      <c r="A14" s="11"/>
      <c r="B14" s="11" t="s">
        <v>80</v>
      </c>
      <c r="C14" s="13" t="s">
        <v>122</v>
      </c>
      <c r="D14" s="11" t="s">
        <v>284</v>
      </c>
      <c r="E14" s="14" t="n">
        <v>3</v>
      </c>
      <c r="F14" s="14" t="n">
        <v>500000</v>
      </c>
      <c r="G14" s="14" t="n">
        <f aca="false">E14*F14</f>
        <v>1500000</v>
      </c>
      <c r="H14" s="13" t="s">
        <v>46</v>
      </c>
      <c r="I14" s="11" t="s">
        <v>158</v>
      </c>
    </row>
    <row r="15" customFormat="false" ht="19.5" hidden="false" customHeight="true" outlineLevel="0" collapsed="false">
      <c r="A15" s="11"/>
      <c r="B15" s="11" t="s">
        <v>89</v>
      </c>
      <c r="C15" s="13" t="s">
        <v>123</v>
      </c>
      <c r="D15" s="11" t="s">
        <v>284</v>
      </c>
      <c r="E15" s="14" t="n">
        <v>3</v>
      </c>
      <c r="F15" s="14" t="n">
        <v>200000</v>
      </c>
      <c r="G15" s="14" t="n">
        <f aca="false">E15*F15</f>
        <v>600000</v>
      </c>
      <c r="H15" s="13" t="s">
        <v>46</v>
      </c>
      <c r="I15" s="11" t="s">
        <v>158</v>
      </c>
    </row>
    <row r="16" customFormat="false" ht="19.5" hidden="false" customHeight="true" outlineLevel="0" collapsed="false">
      <c r="A16" s="11"/>
      <c r="B16" s="11" t="s">
        <v>91</v>
      </c>
      <c r="C16" s="13" t="s">
        <v>124</v>
      </c>
      <c r="D16" s="11" t="s">
        <v>284</v>
      </c>
      <c r="E16" s="14" t="n">
        <v>3</v>
      </c>
      <c r="F16" s="14" t="n">
        <v>250000</v>
      </c>
      <c r="G16" s="14" t="n">
        <f aca="false">E16*F16</f>
        <v>750000</v>
      </c>
      <c r="H16" s="13" t="s">
        <v>46</v>
      </c>
      <c r="I16" s="11" t="s">
        <v>158</v>
      </c>
    </row>
    <row r="17" customFormat="false" ht="19.5" hidden="false" customHeight="true" outlineLevel="0" collapsed="false">
      <c r="A17" s="11" t="s">
        <v>285</v>
      </c>
      <c r="B17" s="11" t="s">
        <v>125</v>
      </c>
      <c r="C17" s="13" t="s">
        <v>126</v>
      </c>
      <c r="D17" s="11" t="s">
        <v>306</v>
      </c>
      <c r="E17" s="14" t="n">
        <v>2</v>
      </c>
      <c r="F17" s="14" t="n">
        <v>300000</v>
      </c>
      <c r="G17" s="14" t="n">
        <f aca="false">E17*F17</f>
        <v>600000</v>
      </c>
      <c r="H17" s="13"/>
      <c r="I17" s="11" t="s">
        <v>71</v>
      </c>
    </row>
    <row r="18" customFormat="false" ht="19.5" hidden="false" customHeight="true" outlineLevel="0" collapsed="false">
      <c r="A18" s="11"/>
      <c r="B18" s="11" t="s">
        <v>125</v>
      </c>
      <c r="C18" s="13" t="s">
        <v>127</v>
      </c>
      <c r="D18" s="11" t="s">
        <v>306</v>
      </c>
      <c r="E18" s="14" t="n">
        <v>1</v>
      </c>
      <c r="F18" s="14" t="n">
        <v>300000</v>
      </c>
      <c r="G18" s="14" t="n">
        <f aca="false">E18*F18</f>
        <v>300000</v>
      </c>
      <c r="H18" s="13"/>
      <c r="I18" s="11" t="s">
        <v>71</v>
      </c>
    </row>
    <row r="19" customFormat="false" ht="19.5" hidden="false" customHeight="true" outlineLevel="0" collapsed="false">
      <c r="A19" s="11"/>
      <c r="B19" s="11" t="s">
        <v>94</v>
      </c>
      <c r="C19" s="13" t="s">
        <v>95</v>
      </c>
      <c r="D19" s="11" t="s">
        <v>286</v>
      </c>
      <c r="E19" s="14" t="n">
        <v>3</v>
      </c>
      <c r="F19" s="14" t="n">
        <v>400000</v>
      </c>
      <c r="G19" s="14" t="n">
        <f aca="false">E19*F19</f>
        <v>1200000</v>
      </c>
      <c r="H19" s="13" t="s">
        <v>128</v>
      </c>
      <c r="I19" s="11" t="s">
        <v>71</v>
      </c>
    </row>
    <row r="20" customFormat="false" ht="19.5" hidden="false" customHeight="true" outlineLevel="0" collapsed="false">
      <c r="A20" s="11" t="s">
        <v>71</v>
      </c>
      <c r="B20" s="11" t="s">
        <v>71</v>
      </c>
      <c r="C20" s="13" t="s">
        <v>105</v>
      </c>
      <c r="D20" s="11" t="s">
        <v>75</v>
      </c>
      <c r="E20" s="14" t="n">
        <v>1</v>
      </c>
      <c r="F20" s="14" t="n">
        <v>750000</v>
      </c>
      <c r="G20" s="14" t="n">
        <f aca="false">E20*F20</f>
        <v>750000</v>
      </c>
      <c r="H20" s="13" t="s">
        <v>129</v>
      </c>
      <c r="I20" s="11" t="s">
        <v>71</v>
      </c>
    </row>
    <row r="21" customFormat="false" ht="19.5" hidden="false" customHeight="true" outlineLevel="0" collapsed="false">
      <c r="A21" s="45" t="s">
        <v>291</v>
      </c>
      <c r="B21" s="45"/>
      <c r="C21" s="45"/>
      <c r="D21" s="45"/>
      <c r="E21" s="45"/>
      <c r="F21" s="45"/>
      <c r="G21" s="46" t="n">
        <f aca="false">SUMIF($I$8:$I$20,"재료비",$G$8:$G$20)</f>
        <v>8733700</v>
      </c>
      <c r="H21" s="20"/>
      <c r="I21" s="20"/>
    </row>
    <row r="22" customFormat="false" ht="19.5" hidden="false" customHeight="true" outlineLevel="0" collapsed="false">
      <c r="A22" s="45" t="s">
        <v>292</v>
      </c>
      <c r="B22" s="45"/>
      <c r="C22" s="45"/>
      <c r="D22" s="45"/>
      <c r="E22" s="45"/>
      <c r="F22" s="45"/>
      <c r="G22" s="46" t="n">
        <f aca="false">SUMIF($I$8:$I$20,"노무비",$G$8:$G$20)</f>
        <v>4950000</v>
      </c>
      <c r="H22" s="20"/>
      <c r="I22" s="20"/>
    </row>
    <row r="23" customFormat="false" ht="19.5" hidden="false" customHeight="true" outlineLevel="0" collapsed="false">
      <c r="A23" s="45" t="s">
        <v>293</v>
      </c>
      <c r="B23" s="45"/>
      <c r="C23" s="45"/>
      <c r="D23" s="45"/>
      <c r="E23" s="45"/>
      <c r="F23" s="45"/>
      <c r="G23" s="46" t="n">
        <f aca="false">SUMIF($I$8:$I$20,"경비",$G$8:$G$20)</f>
        <v>2850000</v>
      </c>
      <c r="H23" s="20"/>
      <c r="I23" s="20"/>
    </row>
    <row r="24" customFormat="false" ht="19.5" hidden="false" customHeight="true" outlineLevel="0" collapsed="false">
      <c r="A24" s="45" t="s">
        <v>159</v>
      </c>
      <c r="B24" s="45"/>
      <c r="C24" s="45"/>
      <c r="D24" s="45"/>
      <c r="E24" s="45"/>
      <c r="F24" s="45"/>
      <c r="G24" s="46" t="n">
        <f aca="false">G22*요율근거!$C$5</f>
        <v>176220</v>
      </c>
      <c r="H24" s="20" t="s">
        <v>294</v>
      </c>
      <c r="I24" s="20"/>
    </row>
    <row r="25" customFormat="false" ht="19.5" hidden="false" customHeight="true" outlineLevel="0" collapsed="false">
      <c r="A25" s="45" t="s">
        <v>160</v>
      </c>
      <c r="B25" s="45"/>
      <c r="C25" s="45"/>
      <c r="D25" s="45"/>
      <c r="E25" s="45"/>
      <c r="F25" s="45"/>
      <c r="G25" s="46" t="n">
        <f aca="false">G22*요율근거!$C$6</f>
        <v>56925</v>
      </c>
      <c r="H25" s="20" t="s">
        <v>295</v>
      </c>
      <c r="I25" s="20"/>
    </row>
    <row r="26" customFormat="false" ht="19.5" hidden="false" customHeight="true" outlineLevel="0" collapsed="false">
      <c r="A26" s="45" t="s">
        <v>161</v>
      </c>
      <c r="B26" s="45"/>
      <c r="C26" s="45"/>
      <c r="D26" s="45"/>
      <c r="E26" s="45"/>
      <c r="F26" s="45"/>
      <c r="G26" s="46" t="n">
        <f aca="false">(G21+G22)*요율근거!$C$7</f>
        <v>425563.07</v>
      </c>
      <c r="H26" s="20" t="s">
        <v>296</v>
      </c>
      <c r="I26" s="20"/>
    </row>
    <row r="27" customFormat="false" ht="19.5" hidden="false" customHeight="true" outlineLevel="0" collapsed="false">
      <c r="A27" s="18" t="s">
        <v>162</v>
      </c>
      <c r="B27" s="18"/>
      <c r="C27" s="18"/>
      <c r="D27" s="18"/>
      <c r="E27" s="18"/>
      <c r="F27" s="18"/>
      <c r="G27" s="19" t="n">
        <f aca="false">SUM(G21:G26)</f>
        <v>17192408.07</v>
      </c>
      <c r="H27" s="20"/>
      <c r="I27" s="20"/>
    </row>
    <row r="28" customFormat="false" ht="19.5" hidden="false" customHeight="true" outlineLevel="0" collapsed="false">
      <c r="A28" s="45" t="s">
        <v>163</v>
      </c>
      <c r="B28" s="45"/>
      <c r="C28" s="45"/>
      <c r="D28" s="45"/>
      <c r="E28" s="45"/>
      <c r="F28" s="45"/>
      <c r="G28" s="46" t="n">
        <f aca="false">G27*요율근거!$C$8</f>
        <v>859620.4035</v>
      </c>
      <c r="H28" s="20" t="s">
        <v>297</v>
      </c>
      <c r="I28" s="20"/>
    </row>
    <row r="29" customFormat="false" ht="19.5" hidden="false" customHeight="true" outlineLevel="0" collapsed="false">
      <c r="A29" s="45" t="s">
        <v>164</v>
      </c>
      <c r="B29" s="45"/>
      <c r="C29" s="45"/>
      <c r="D29" s="45"/>
      <c r="E29" s="45"/>
      <c r="F29" s="45"/>
      <c r="G29" s="46" t="n">
        <f aca="false">(G22+G23+G24+G25+G26+G28)*요율근거!$C$11</f>
        <v>1397749.271025</v>
      </c>
      <c r="H29" s="20" t="s">
        <v>298</v>
      </c>
      <c r="I29" s="20"/>
    </row>
    <row r="30" customFormat="false" ht="19.5" hidden="false" customHeight="true" outlineLevel="0" collapsed="false">
      <c r="A30" s="45" t="s">
        <v>165</v>
      </c>
      <c r="B30" s="45"/>
      <c r="C30" s="45"/>
      <c r="D30" s="45"/>
      <c r="E30" s="45"/>
      <c r="F30" s="45"/>
      <c r="G30" s="46" t="n">
        <f aca="false">-MOD(G27+G28+G29,1000)</f>
        <v>-777.744524996728</v>
      </c>
      <c r="H30" s="20" t="s">
        <v>299</v>
      </c>
      <c r="I30" s="20"/>
    </row>
    <row r="31" customFormat="false" ht="19.5" hidden="false" customHeight="true" outlineLevel="0" collapsed="false">
      <c r="A31" s="47" t="s">
        <v>209</v>
      </c>
      <c r="B31" s="47"/>
      <c r="C31" s="47"/>
      <c r="D31" s="47"/>
      <c r="E31" s="47"/>
      <c r="F31" s="47"/>
      <c r="G31" s="48" t="n">
        <f aca="false">G27+G28+G29+G30</f>
        <v>19449000</v>
      </c>
      <c r="H31" s="38" t="s">
        <v>300</v>
      </c>
      <c r="I31" s="38"/>
    </row>
    <row r="33" customFormat="false" ht="11.9" hidden="false" customHeight="false" outlineLevel="0" collapsed="false">
      <c r="A33" s="49" t="s">
        <v>301</v>
      </c>
      <c r="B33" s="49"/>
      <c r="C33" s="49"/>
      <c r="D33" s="49"/>
      <c r="E33" s="49"/>
      <c r="F33" s="49"/>
      <c r="G33" s="49"/>
      <c r="H33" s="49"/>
      <c r="I33" s="49"/>
    </row>
    <row r="34" customFormat="false" ht="11.9" hidden="false" customHeight="false" outlineLevel="0" collapsed="false">
      <c r="A34" s="49" t="s">
        <v>302</v>
      </c>
      <c r="B34" s="49"/>
      <c r="C34" s="49"/>
      <c r="D34" s="49"/>
      <c r="E34" s="49"/>
      <c r="F34" s="49"/>
      <c r="G34" s="49"/>
      <c r="H34" s="49"/>
      <c r="I34" s="49"/>
    </row>
  </sheetData>
  <mergeCells count="30">
    <mergeCell ref="A1:I2"/>
    <mergeCell ref="A3:I3"/>
    <mergeCell ref="A5:I5"/>
    <mergeCell ref="A8:A12"/>
    <mergeCell ref="A13:A16"/>
    <mergeCell ref="A17:A19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3:I33"/>
    <mergeCell ref="A34:I34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307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38</v>
      </c>
      <c r="C8" s="13" t="s">
        <v>241</v>
      </c>
      <c r="D8" s="11" t="s">
        <v>284</v>
      </c>
      <c r="E8" s="14" t="n">
        <v>21</v>
      </c>
      <c r="F8" s="14" t="n">
        <v>300000</v>
      </c>
      <c r="G8" s="14" t="n">
        <f aca="false">E8*F8</f>
        <v>6300000</v>
      </c>
      <c r="H8" s="13" t="s">
        <v>308</v>
      </c>
      <c r="I8" s="11" t="s">
        <v>158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284</v>
      </c>
      <c r="E9" s="14" t="n">
        <v>4</v>
      </c>
      <c r="F9" s="14" t="n">
        <v>260000</v>
      </c>
      <c r="G9" s="14" t="n">
        <f aca="false">E9*F9</f>
        <v>1040000</v>
      </c>
      <c r="H9" s="13" t="s">
        <v>309</v>
      </c>
      <c r="I9" s="11" t="s">
        <v>158</v>
      </c>
    </row>
    <row r="10" customFormat="false" ht="19.5" hidden="false" customHeight="true" outlineLevel="0" collapsed="false">
      <c r="A10" s="11"/>
      <c r="B10" s="11" t="s">
        <v>44</v>
      </c>
      <c r="C10" s="13" t="s">
        <v>245</v>
      </c>
      <c r="D10" s="11" t="s">
        <v>284</v>
      </c>
      <c r="E10" s="14" t="n">
        <v>3</v>
      </c>
      <c r="F10" s="14" t="n">
        <v>320000</v>
      </c>
      <c r="G10" s="14" t="n">
        <f aca="false">E10*F10</f>
        <v>960000</v>
      </c>
      <c r="H10" s="13" t="s">
        <v>46</v>
      </c>
      <c r="I10" s="11" t="s">
        <v>158</v>
      </c>
    </row>
    <row r="11" customFormat="false" ht="19.5" hidden="false" customHeight="true" outlineLevel="0" collapsed="false">
      <c r="A11" s="11" t="s">
        <v>285</v>
      </c>
      <c r="B11" s="11" t="s">
        <v>47</v>
      </c>
      <c r="C11" s="13" t="s">
        <v>246</v>
      </c>
      <c r="D11" s="11" t="s">
        <v>286</v>
      </c>
      <c r="E11" s="14" t="n">
        <v>1</v>
      </c>
      <c r="F11" s="14" t="n">
        <v>2400000</v>
      </c>
      <c r="G11" s="14" t="n">
        <f aca="false">E11*F11</f>
        <v>2400000</v>
      </c>
      <c r="H11" s="13" t="s">
        <v>310</v>
      </c>
      <c r="I11" s="11" t="s">
        <v>71</v>
      </c>
    </row>
    <row r="12" customFormat="false" ht="19.5" hidden="false" customHeight="true" outlineLevel="0" collapsed="false">
      <c r="A12" s="11"/>
      <c r="B12" s="11" t="s">
        <v>47</v>
      </c>
      <c r="C12" s="13" t="s">
        <v>247</v>
      </c>
      <c r="D12" s="11" t="s">
        <v>286</v>
      </c>
      <c r="E12" s="14" t="n">
        <v>1</v>
      </c>
      <c r="F12" s="14" t="n">
        <v>1700000</v>
      </c>
      <c r="G12" s="14" t="n">
        <f aca="false">E12*F12</f>
        <v>1700000</v>
      </c>
      <c r="H12" s="13" t="s">
        <v>310</v>
      </c>
      <c r="I12" s="11" t="s">
        <v>71</v>
      </c>
    </row>
    <row r="13" customFormat="false" ht="19.5" hidden="false" customHeight="true" outlineLevel="0" collapsed="false">
      <c r="A13" s="11"/>
      <c r="B13" s="11" t="s">
        <v>47</v>
      </c>
      <c r="C13" s="13" t="s">
        <v>248</v>
      </c>
      <c r="D13" s="11" t="s">
        <v>286</v>
      </c>
      <c r="E13" s="14" t="n">
        <v>1</v>
      </c>
      <c r="F13" s="14" t="n">
        <v>3500000</v>
      </c>
      <c r="G13" s="14" t="n">
        <f aca="false">E13*F13</f>
        <v>3500000</v>
      </c>
      <c r="H13" s="13" t="s">
        <v>311</v>
      </c>
      <c r="I13" s="11" t="s">
        <v>71</v>
      </c>
    </row>
    <row r="14" customFormat="false" ht="19.5" hidden="false" customHeight="true" outlineLevel="0" collapsed="false">
      <c r="A14" s="11"/>
      <c r="B14" s="11" t="s">
        <v>251</v>
      </c>
      <c r="C14" s="13" t="s">
        <v>252</v>
      </c>
      <c r="D14" s="11" t="s">
        <v>75</v>
      </c>
      <c r="E14" s="14" t="n">
        <v>1</v>
      </c>
      <c r="F14" s="14" t="n">
        <v>1200000</v>
      </c>
      <c r="G14" s="14" t="n">
        <f aca="false">E14*F14</f>
        <v>1200000</v>
      </c>
      <c r="H14" s="13" t="s">
        <v>312</v>
      </c>
      <c r="I14" s="11" t="s">
        <v>71</v>
      </c>
    </row>
    <row r="15" customFormat="false" ht="19.5" hidden="false" customHeight="true" outlineLevel="0" collapsed="false">
      <c r="A15" s="11"/>
      <c r="B15" s="11" t="s">
        <v>253</v>
      </c>
      <c r="C15" s="13" t="s">
        <v>254</v>
      </c>
      <c r="D15" s="11" t="s">
        <v>75</v>
      </c>
      <c r="E15" s="14" t="n">
        <v>1</v>
      </c>
      <c r="F15" s="14" t="n">
        <v>800000</v>
      </c>
      <c r="G15" s="14" t="n">
        <f aca="false">E15*F15</f>
        <v>800000</v>
      </c>
      <c r="H15" s="13" t="s">
        <v>313</v>
      </c>
      <c r="I15" s="11" t="s">
        <v>71</v>
      </c>
    </row>
    <row r="16" customFormat="false" ht="19.5" hidden="false" customHeight="true" outlineLevel="0" collapsed="false">
      <c r="A16" s="11"/>
      <c r="B16" s="11" t="s">
        <v>51</v>
      </c>
      <c r="C16" s="13" t="s">
        <v>52</v>
      </c>
      <c r="D16" s="11" t="s">
        <v>290</v>
      </c>
      <c r="E16" s="14" t="n">
        <v>2</v>
      </c>
      <c r="F16" s="14" t="n">
        <v>640000</v>
      </c>
      <c r="G16" s="14" t="n">
        <f aca="false">E16*F16</f>
        <v>1280000</v>
      </c>
      <c r="H16" s="13" t="s">
        <v>314</v>
      </c>
      <c r="I16" s="11" t="s">
        <v>71</v>
      </c>
    </row>
    <row r="17" customFormat="false" ht="19.5" hidden="false" customHeight="true" outlineLevel="0" collapsed="false">
      <c r="A17" s="11"/>
      <c r="B17" s="11" t="s">
        <v>57</v>
      </c>
      <c r="C17" s="13" t="s">
        <v>58</v>
      </c>
      <c r="D17" s="11" t="s">
        <v>287</v>
      </c>
      <c r="E17" s="14" t="n">
        <v>1</v>
      </c>
      <c r="F17" s="14" t="n">
        <v>3000000</v>
      </c>
      <c r="G17" s="14" t="n">
        <f aca="false">E17*F17</f>
        <v>3000000</v>
      </c>
      <c r="H17" s="13"/>
      <c r="I17" s="11" t="s">
        <v>71</v>
      </c>
    </row>
    <row r="18" customFormat="false" ht="19.5" hidden="false" customHeight="true" outlineLevel="0" collapsed="false">
      <c r="A18" s="11" t="s">
        <v>157</v>
      </c>
      <c r="B18" s="11" t="s">
        <v>256</v>
      </c>
      <c r="C18" s="13" t="s">
        <v>257</v>
      </c>
      <c r="D18" s="11" t="s">
        <v>75</v>
      </c>
      <c r="E18" s="14" t="n">
        <v>1</v>
      </c>
      <c r="F18" s="14" t="n">
        <v>900000</v>
      </c>
      <c r="G18" s="14" t="n">
        <f aca="false">E18*F18</f>
        <v>900000</v>
      </c>
      <c r="H18" s="13" t="s">
        <v>315</v>
      </c>
      <c r="I18" s="11" t="s">
        <v>157</v>
      </c>
    </row>
    <row r="19" customFormat="false" ht="19.5" hidden="false" customHeight="true" outlineLevel="0" collapsed="false">
      <c r="A19" s="11"/>
      <c r="B19" s="11" t="s">
        <v>59</v>
      </c>
      <c r="C19" s="13" t="s">
        <v>258</v>
      </c>
      <c r="D19" s="11" t="s">
        <v>75</v>
      </c>
      <c r="E19" s="14" t="n">
        <v>1</v>
      </c>
      <c r="F19" s="14" t="n">
        <v>1000000</v>
      </c>
      <c r="G19" s="14" t="n">
        <f aca="false">E19*F19</f>
        <v>1000000</v>
      </c>
      <c r="H19" s="13"/>
      <c r="I19" s="11" t="s">
        <v>157</v>
      </c>
    </row>
    <row r="20" customFormat="false" ht="19.5" hidden="false" customHeight="true" outlineLevel="0" collapsed="false">
      <c r="A20" s="11" t="s">
        <v>288</v>
      </c>
      <c r="B20" s="11" t="s">
        <v>61</v>
      </c>
      <c r="C20" s="13" t="s">
        <v>62</v>
      </c>
      <c r="D20" s="11" t="s">
        <v>289</v>
      </c>
      <c r="E20" s="14" t="n">
        <v>242</v>
      </c>
      <c r="F20" s="14" t="n">
        <v>5000</v>
      </c>
      <c r="G20" s="14" t="n">
        <f aca="false">E20*F20</f>
        <v>1210000</v>
      </c>
      <c r="H20" s="13" t="s">
        <v>316</v>
      </c>
      <c r="I20" s="11" t="s">
        <v>71</v>
      </c>
    </row>
    <row r="21" customFormat="false" ht="19.5" hidden="false" customHeight="true" outlineLevel="0" collapsed="false">
      <c r="A21" s="11"/>
      <c r="B21" s="11" t="s">
        <v>64</v>
      </c>
      <c r="C21" s="13" t="s">
        <v>65</v>
      </c>
      <c r="D21" s="11" t="s">
        <v>284</v>
      </c>
      <c r="E21" s="14" t="n">
        <v>2</v>
      </c>
      <c r="F21" s="14" t="n">
        <v>250000</v>
      </c>
      <c r="G21" s="14" t="n">
        <f aca="false">E21*F21</f>
        <v>500000</v>
      </c>
      <c r="H21" s="13"/>
      <c r="I21" s="11" t="s">
        <v>158</v>
      </c>
    </row>
    <row r="22" customFormat="false" ht="19.5" hidden="false" customHeight="true" outlineLevel="0" collapsed="false">
      <c r="A22" s="11"/>
      <c r="B22" s="11" t="s">
        <v>67</v>
      </c>
      <c r="C22" s="13" t="s">
        <v>68</v>
      </c>
      <c r="D22" s="11" t="s">
        <v>290</v>
      </c>
      <c r="E22" s="14" t="n">
        <v>2</v>
      </c>
      <c r="F22" s="14" t="n">
        <v>260000</v>
      </c>
      <c r="G22" s="14" t="n">
        <f aca="false">E22*F22</f>
        <v>520000</v>
      </c>
      <c r="H22" s="13"/>
      <c r="I22" s="11" t="s">
        <v>71</v>
      </c>
    </row>
    <row r="23" customFormat="false" ht="19.5" hidden="false" customHeight="true" outlineLevel="0" collapsed="false">
      <c r="A23" s="11"/>
      <c r="B23" s="11" t="s">
        <v>70</v>
      </c>
      <c r="C23" s="13"/>
      <c r="D23" s="11" t="s">
        <v>75</v>
      </c>
      <c r="E23" s="14" t="n">
        <v>1</v>
      </c>
      <c r="F23" s="14" t="n">
        <v>380000</v>
      </c>
      <c r="G23" s="14" t="n">
        <f aca="false">E23*F23</f>
        <v>380000</v>
      </c>
      <c r="H23" s="13"/>
      <c r="I23" s="11" t="s">
        <v>157</v>
      </c>
    </row>
    <row r="24" customFormat="false" ht="19.5" hidden="false" customHeight="true" outlineLevel="0" collapsed="false">
      <c r="A24" s="11" t="s">
        <v>71</v>
      </c>
      <c r="B24" s="11" t="s">
        <v>71</v>
      </c>
      <c r="C24" s="13" t="s">
        <v>72</v>
      </c>
      <c r="D24" s="11" t="s">
        <v>75</v>
      </c>
      <c r="E24" s="14" t="n">
        <v>1</v>
      </c>
      <c r="F24" s="14" t="n">
        <v>600000</v>
      </c>
      <c r="G24" s="14" t="n">
        <f aca="false">E24*F24</f>
        <v>600000</v>
      </c>
      <c r="H24" s="13"/>
      <c r="I24" s="11" t="s">
        <v>71</v>
      </c>
    </row>
    <row r="25" customFormat="false" ht="19.5" hidden="false" customHeight="true" outlineLevel="0" collapsed="false">
      <c r="A25" s="45" t="s">
        <v>291</v>
      </c>
      <c r="B25" s="45"/>
      <c r="C25" s="45"/>
      <c r="D25" s="45"/>
      <c r="E25" s="45"/>
      <c r="F25" s="45"/>
      <c r="G25" s="46" t="n">
        <f aca="false">SUMIF($I$8:$I$24,"재료비",$G$8:$G$24)</f>
        <v>2280000</v>
      </c>
      <c r="H25" s="20"/>
      <c r="I25" s="20"/>
    </row>
    <row r="26" customFormat="false" ht="19.5" hidden="false" customHeight="true" outlineLevel="0" collapsed="false">
      <c r="A26" s="45" t="s">
        <v>292</v>
      </c>
      <c r="B26" s="45"/>
      <c r="C26" s="45"/>
      <c r="D26" s="45"/>
      <c r="E26" s="45"/>
      <c r="F26" s="45"/>
      <c r="G26" s="46" t="n">
        <f aca="false">SUMIF($I$8:$I$24,"노무비",$G$8:$G$24)</f>
        <v>8800000</v>
      </c>
      <c r="H26" s="20"/>
      <c r="I26" s="20"/>
    </row>
    <row r="27" customFormat="false" ht="19.5" hidden="false" customHeight="true" outlineLevel="0" collapsed="false">
      <c r="A27" s="45" t="s">
        <v>293</v>
      </c>
      <c r="B27" s="45"/>
      <c r="C27" s="45"/>
      <c r="D27" s="45"/>
      <c r="E27" s="45"/>
      <c r="F27" s="45"/>
      <c r="G27" s="46" t="n">
        <f aca="false">SUMIF($I$8:$I$24,"경비",$G$8:$G$24)</f>
        <v>16210000</v>
      </c>
      <c r="H27" s="20"/>
      <c r="I27" s="20"/>
    </row>
    <row r="28" customFormat="false" ht="19.5" hidden="false" customHeight="true" outlineLevel="0" collapsed="false">
      <c r="A28" s="45" t="s">
        <v>159</v>
      </c>
      <c r="B28" s="45"/>
      <c r="C28" s="45"/>
      <c r="D28" s="45"/>
      <c r="E28" s="45"/>
      <c r="F28" s="45"/>
      <c r="G28" s="46" t="n">
        <f aca="false">G26*요율근거!$C$5</f>
        <v>313280</v>
      </c>
      <c r="H28" s="20" t="s">
        <v>294</v>
      </c>
      <c r="I28" s="20"/>
    </row>
    <row r="29" customFormat="false" ht="19.5" hidden="false" customHeight="true" outlineLevel="0" collapsed="false">
      <c r="A29" s="45" t="s">
        <v>160</v>
      </c>
      <c r="B29" s="45"/>
      <c r="C29" s="45"/>
      <c r="D29" s="45"/>
      <c r="E29" s="45"/>
      <c r="F29" s="45"/>
      <c r="G29" s="46" t="n">
        <f aca="false">G26*요율근거!$C$6</f>
        <v>101200</v>
      </c>
      <c r="H29" s="20" t="s">
        <v>295</v>
      </c>
      <c r="I29" s="20"/>
    </row>
    <row r="30" customFormat="false" ht="19.5" hidden="false" customHeight="true" outlineLevel="0" collapsed="false">
      <c r="A30" s="45" t="s">
        <v>161</v>
      </c>
      <c r="B30" s="45"/>
      <c r="C30" s="45"/>
      <c r="D30" s="45"/>
      <c r="E30" s="45"/>
      <c r="F30" s="45"/>
      <c r="G30" s="46" t="n">
        <f aca="false">(G25+G26)*요율근거!$C$7</f>
        <v>344588</v>
      </c>
      <c r="H30" s="20" t="s">
        <v>296</v>
      </c>
      <c r="I30" s="20"/>
    </row>
    <row r="31" customFormat="false" ht="19.5" hidden="false" customHeight="true" outlineLevel="0" collapsed="false">
      <c r="A31" s="18" t="s">
        <v>162</v>
      </c>
      <c r="B31" s="18"/>
      <c r="C31" s="18"/>
      <c r="D31" s="18"/>
      <c r="E31" s="18"/>
      <c r="F31" s="18"/>
      <c r="G31" s="19" t="n">
        <f aca="false">SUM(G25:G30)</f>
        <v>28049068</v>
      </c>
      <c r="H31" s="20"/>
      <c r="I31" s="20"/>
    </row>
    <row r="32" customFormat="false" ht="19.5" hidden="false" customHeight="true" outlineLevel="0" collapsed="false">
      <c r="A32" s="45" t="s">
        <v>163</v>
      </c>
      <c r="B32" s="45"/>
      <c r="C32" s="45"/>
      <c r="D32" s="45"/>
      <c r="E32" s="45"/>
      <c r="F32" s="45"/>
      <c r="G32" s="46" t="n">
        <f aca="false">G31*요율근거!$C$8</f>
        <v>1402453.4</v>
      </c>
      <c r="H32" s="20" t="s">
        <v>297</v>
      </c>
      <c r="I32" s="20"/>
    </row>
    <row r="33" customFormat="false" ht="19.5" hidden="false" customHeight="true" outlineLevel="0" collapsed="false">
      <c r="A33" s="45" t="s">
        <v>164</v>
      </c>
      <c r="B33" s="45"/>
      <c r="C33" s="45"/>
      <c r="D33" s="45"/>
      <c r="E33" s="45"/>
      <c r="F33" s="45"/>
      <c r="G33" s="46" t="n">
        <f aca="false">(G26+G27+G28+G29+G30+G32)*요율근거!$C$12</f>
        <v>4075728.21</v>
      </c>
      <c r="H33" s="20" t="s">
        <v>298</v>
      </c>
      <c r="I33" s="20"/>
    </row>
    <row r="34" customFormat="false" ht="19.5" hidden="false" customHeight="true" outlineLevel="0" collapsed="false">
      <c r="A34" s="45" t="s">
        <v>165</v>
      </c>
      <c r="B34" s="45"/>
      <c r="C34" s="45"/>
      <c r="D34" s="45"/>
      <c r="E34" s="45"/>
      <c r="F34" s="45"/>
      <c r="G34" s="46" t="n">
        <f aca="false">-MOD(G31+G32+G33,1000)</f>
        <v>-249.609999999404</v>
      </c>
      <c r="H34" s="20" t="s">
        <v>299</v>
      </c>
      <c r="I34" s="20"/>
    </row>
    <row r="35" customFormat="false" ht="19.5" hidden="false" customHeight="true" outlineLevel="0" collapsed="false">
      <c r="A35" s="47" t="s">
        <v>209</v>
      </c>
      <c r="B35" s="47"/>
      <c r="C35" s="47"/>
      <c r="D35" s="47"/>
      <c r="E35" s="47"/>
      <c r="F35" s="47"/>
      <c r="G35" s="48" t="n">
        <f aca="false">G31+G32+G33+G34</f>
        <v>33527000</v>
      </c>
      <c r="H35" s="38" t="s">
        <v>300</v>
      </c>
      <c r="I35" s="38"/>
    </row>
    <row r="37" customFormat="false" ht="11.9" hidden="false" customHeight="false" outlineLevel="0" collapsed="false">
      <c r="A37" s="49" t="s">
        <v>301</v>
      </c>
      <c r="B37" s="49"/>
      <c r="C37" s="49"/>
      <c r="D37" s="49"/>
      <c r="E37" s="49"/>
      <c r="F37" s="49"/>
      <c r="G37" s="49"/>
      <c r="H37" s="49"/>
      <c r="I37" s="49"/>
    </row>
    <row r="38" customFormat="false" ht="11.9" hidden="false" customHeight="false" outlineLevel="0" collapsed="false">
      <c r="A38" s="49" t="s">
        <v>302</v>
      </c>
      <c r="B38" s="49"/>
      <c r="C38" s="49"/>
      <c r="D38" s="49"/>
      <c r="E38" s="49"/>
      <c r="F38" s="49"/>
      <c r="G38" s="49"/>
      <c r="H38" s="49"/>
      <c r="I38" s="49"/>
    </row>
  </sheetData>
  <mergeCells count="31">
    <mergeCell ref="A1:I2"/>
    <mergeCell ref="A3:I3"/>
    <mergeCell ref="A5:I5"/>
    <mergeCell ref="A8:A10"/>
    <mergeCell ref="A11:A17"/>
    <mergeCell ref="A18:A19"/>
    <mergeCell ref="A20:A23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7:I37"/>
    <mergeCell ref="A38:I38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317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80</v>
      </c>
      <c r="C8" s="13" t="s">
        <v>81</v>
      </c>
      <c r="D8" s="11" t="s">
        <v>284</v>
      </c>
      <c r="E8" s="14" t="n">
        <v>9</v>
      </c>
      <c r="F8" s="14" t="n">
        <v>500000</v>
      </c>
      <c r="G8" s="14" t="n">
        <f aca="false">E8*F8</f>
        <v>4500000</v>
      </c>
      <c r="H8" s="13" t="s">
        <v>82</v>
      </c>
      <c r="I8" s="11" t="s">
        <v>158</v>
      </c>
    </row>
    <row r="9" customFormat="false" ht="19.5" hidden="false" customHeight="true" outlineLevel="0" collapsed="false">
      <c r="A9" s="11"/>
      <c r="B9" s="11" t="s">
        <v>83</v>
      </c>
      <c r="C9" s="13" t="s">
        <v>84</v>
      </c>
      <c r="D9" s="11" t="s">
        <v>284</v>
      </c>
      <c r="E9" s="14" t="n">
        <v>6</v>
      </c>
      <c r="F9" s="14" t="n">
        <v>350000</v>
      </c>
      <c r="G9" s="14" t="n">
        <f aca="false">E9*F9</f>
        <v>2100000</v>
      </c>
      <c r="H9" s="13" t="s">
        <v>85</v>
      </c>
      <c r="I9" s="11" t="s">
        <v>158</v>
      </c>
    </row>
    <row r="10" customFormat="false" ht="19.5" hidden="false" customHeight="true" outlineLevel="0" collapsed="false">
      <c r="A10" s="11"/>
      <c r="B10" s="11" t="s">
        <v>86</v>
      </c>
      <c r="C10" s="13" t="s">
        <v>87</v>
      </c>
      <c r="D10" s="11" t="s">
        <v>284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88</v>
      </c>
      <c r="I10" s="11" t="s">
        <v>158</v>
      </c>
    </row>
    <row r="11" customFormat="false" ht="19.5" hidden="false" customHeight="true" outlineLevel="0" collapsed="false">
      <c r="A11" s="11"/>
      <c r="B11" s="11" t="s">
        <v>89</v>
      </c>
      <c r="C11" s="13" t="s">
        <v>90</v>
      </c>
      <c r="D11" s="11" t="s">
        <v>284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88</v>
      </c>
      <c r="I11" s="11" t="s">
        <v>158</v>
      </c>
    </row>
    <row r="12" customFormat="false" ht="19.5" hidden="false" customHeight="true" outlineLevel="0" collapsed="false">
      <c r="A12" s="11"/>
      <c r="B12" s="11" t="s">
        <v>91</v>
      </c>
      <c r="C12" s="13" t="s">
        <v>92</v>
      </c>
      <c r="D12" s="11" t="s">
        <v>284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93</v>
      </c>
      <c r="I12" s="11" t="s">
        <v>158</v>
      </c>
    </row>
    <row r="13" customFormat="false" ht="19.5" hidden="false" customHeight="true" outlineLevel="0" collapsed="false">
      <c r="A13" s="11" t="s">
        <v>285</v>
      </c>
      <c r="B13" s="11" t="s">
        <v>94</v>
      </c>
      <c r="C13" s="13" t="s">
        <v>95</v>
      </c>
      <c r="D13" s="11" t="s">
        <v>286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96</v>
      </c>
      <c r="I13" s="11" t="s">
        <v>71</v>
      </c>
    </row>
    <row r="14" customFormat="false" ht="19.5" hidden="false" customHeight="true" outlineLevel="0" collapsed="false">
      <c r="A14" s="11"/>
      <c r="B14" s="11" t="s">
        <v>97</v>
      </c>
      <c r="C14" s="13" t="s">
        <v>98</v>
      </c>
      <c r="D14" s="11" t="s">
        <v>287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71</v>
      </c>
    </row>
    <row r="15" customFormat="false" ht="19.5" hidden="false" customHeight="true" outlineLevel="0" collapsed="false">
      <c r="A15" s="11" t="s">
        <v>157</v>
      </c>
      <c r="B15" s="11" t="s">
        <v>99</v>
      </c>
      <c r="C15" s="13" t="s">
        <v>100</v>
      </c>
      <c r="D15" s="11" t="s">
        <v>75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157</v>
      </c>
    </row>
    <row r="16" customFormat="false" ht="19.5" hidden="false" customHeight="true" outlineLevel="0" collapsed="false">
      <c r="A16" s="11" t="s">
        <v>285</v>
      </c>
      <c r="B16" s="11" t="s">
        <v>101</v>
      </c>
      <c r="C16" s="13"/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71</v>
      </c>
    </row>
    <row r="17" customFormat="false" ht="19.5" hidden="false" customHeight="true" outlineLevel="0" collapsed="false">
      <c r="A17" s="11"/>
      <c r="B17" s="11" t="s">
        <v>102</v>
      </c>
      <c r="C17" s="13" t="s">
        <v>103</v>
      </c>
      <c r="D17" s="11" t="s">
        <v>286</v>
      </c>
      <c r="E17" s="14" t="n">
        <v>22</v>
      </c>
      <c r="F17" s="14" t="n">
        <v>100000</v>
      </c>
      <c r="G17" s="14" t="n">
        <f aca="false">E17*F17</f>
        <v>2200000</v>
      </c>
      <c r="H17" s="13" t="s">
        <v>104</v>
      </c>
      <c r="I17" s="11" t="s">
        <v>71</v>
      </c>
    </row>
    <row r="18" customFormat="false" ht="19.5" hidden="false" customHeight="true" outlineLevel="0" collapsed="false">
      <c r="A18" s="11" t="s">
        <v>71</v>
      </c>
      <c r="B18" s="11" t="s">
        <v>71</v>
      </c>
      <c r="C18" s="13" t="s">
        <v>105</v>
      </c>
      <c r="D18" s="11" t="s">
        <v>75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106</v>
      </c>
      <c r="I18" s="11" t="s">
        <v>71</v>
      </c>
    </row>
    <row r="19" customFormat="false" ht="19.5" hidden="false" customHeight="true" outlineLevel="0" collapsed="false">
      <c r="A19" s="45" t="s">
        <v>291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5" t="s">
        <v>292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5" t="s">
        <v>293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20"/>
      <c r="I21" s="20"/>
    </row>
    <row r="22" customFormat="false" ht="19.5" hidden="false" customHeight="true" outlineLevel="0" collapsed="false">
      <c r="A22" s="45" t="s">
        <v>159</v>
      </c>
      <c r="B22" s="45"/>
      <c r="C22" s="45"/>
      <c r="D22" s="45"/>
      <c r="E22" s="45"/>
      <c r="F22" s="45"/>
      <c r="G22" s="46" t="n">
        <f aca="false">G20*요율근거!$C$5</f>
        <v>350660</v>
      </c>
      <c r="H22" s="20" t="s">
        <v>294</v>
      </c>
      <c r="I22" s="20"/>
    </row>
    <row r="23" customFormat="false" ht="19.5" hidden="false" customHeight="true" outlineLevel="0" collapsed="false">
      <c r="A23" s="45" t="s">
        <v>160</v>
      </c>
      <c r="B23" s="45"/>
      <c r="C23" s="45"/>
      <c r="D23" s="45"/>
      <c r="E23" s="45"/>
      <c r="F23" s="45"/>
      <c r="G23" s="46" t="n">
        <f aca="false">G20*요율근거!$C$6</f>
        <v>113275</v>
      </c>
      <c r="H23" s="20" t="s">
        <v>295</v>
      </c>
      <c r="I23" s="20"/>
    </row>
    <row r="24" customFormat="false" ht="19.5" hidden="false" customHeight="true" outlineLevel="0" collapsed="false">
      <c r="A24" s="45" t="s">
        <v>161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20" t="s">
        <v>296</v>
      </c>
      <c r="I24" s="20"/>
    </row>
    <row r="25" customFormat="false" ht="19.5" hidden="false" customHeight="true" outlineLevel="0" collapsed="false">
      <c r="A25" s="18" t="s">
        <v>162</v>
      </c>
      <c r="B25" s="18"/>
      <c r="C25" s="18"/>
      <c r="D25" s="18"/>
      <c r="E25" s="18"/>
      <c r="F25" s="18"/>
      <c r="G25" s="19" t="n">
        <f aca="false">SUM(G19:G24)</f>
        <v>23414718</v>
      </c>
      <c r="H25" s="20"/>
      <c r="I25" s="20"/>
    </row>
    <row r="26" customFormat="false" ht="19.5" hidden="false" customHeight="true" outlineLevel="0" collapsed="false">
      <c r="A26" s="45" t="s">
        <v>163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20" t="s">
        <v>297</v>
      </c>
      <c r="I26" s="20"/>
    </row>
    <row r="27" customFormat="false" ht="19.5" hidden="false" customHeight="true" outlineLevel="0" collapsed="false">
      <c r="A27" s="45" t="s">
        <v>164</v>
      </c>
      <c r="B27" s="45"/>
      <c r="C27" s="45"/>
      <c r="D27" s="45"/>
      <c r="E27" s="45"/>
      <c r="F27" s="45"/>
      <c r="G27" s="46" t="n">
        <f aca="false">(G20+G21+G22+G23+G24+G26)*요율근거!$C$13</f>
        <v>3135818.085</v>
      </c>
      <c r="H27" s="20" t="s">
        <v>298</v>
      </c>
      <c r="I27" s="20"/>
    </row>
    <row r="28" customFormat="false" ht="19.5" hidden="false" customHeight="true" outlineLevel="0" collapsed="false">
      <c r="A28" s="45" t="s">
        <v>165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20" t="s">
        <v>299</v>
      </c>
      <c r="I28" s="20"/>
    </row>
    <row r="29" customFormat="false" ht="19.5" hidden="false" customHeight="true" outlineLevel="0" collapsed="false">
      <c r="A29" s="47" t="s">
        <v>209</v>
      </c>
      <c r="B29" s="47"/>
      <c r="C29" s="47"/>
      <c r="D29" s="47"/>
      <c r="E29" s="47"/>
      <c r="F29" s="47"/>
      <c r="G29" s="48" t="n">
        <f aca="false">G25+G26+G27+G28</f>
        <v>27721000</v>
      </c>
      <c r="H29" s="38" t="s">
        <v>300</v>
      </c>
      <c r="I29" s="38"/>
    </row>
    <row r="31" customFormat="false" ht="11.9" hidden="false" customHeight="false" outlineLevel="0" collapsed="false">
      <c r="A31" s="49" t="s">
        <v>301</v>
      </c>
      <c r="B31" s="49"/>
      <c r="C31" s="49"/>
      <c r="D31" s="49"/>
      <c r="E31" s="49"/>
      <c r="F31" s="49"/>
      <c r="G31" s="49"/>
      <c r="H31" s="49"/>
      <c r="I31" s="49"/>
    </row>
    <row r="32" customFormat="false" ht="11.9" hidden="false" customHeight="false" outlineLevel="0" collapsed="false">
      <c r="A32" s="49" t="s">
        <v>302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318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157</v>
      </c>
      <c r="B8" s="11" t="s">
        <v>263</v>
      </c>
      <c r="C8" s="13" t="s">
        <v>264</v>
      </c>
      <c r="D8" s="11" t="s">
        <v>75</v>
      </c>
      <c r="E8" s="14" t="n">
        <v>1</v>
      </c>
      <c r="F8" s="14" t="n">
        <v>0</v>
      </c>
      <c r="G8" s="14" t="n">
        <f aca="false">E8*F8</f>
        <v>0</v>
      </c>
      <c r="H8" s="13" t="s">
        <v>319</v>
      </c>
      <c r="I8" s="11" t="s">
        <v>157</v>
      </c>
    </row>
    <row r="9" customFormat="false" ht="19.5" hidden="false" customHeight="true" outlineLevel="0" collapsed="false">
      <c r="A9" s="11"/>
      <c r="B9" s="11" t="s">
        <v>99</v>
      </c>
      <c r="C9" s="13" t="s">
        <v>116</v>
      </c>
      <c r="D9" s="11" t="s">
        <v>75</v>
      </c>
      <c r="E9" s="14" t="n">
        <v>1</v>
      </c>
      <c r="F9" s="14" t="n">
        <v>420000</v>
      </c>
      <c r="G9" s="14" t="n">
        <f aca="false">E9*F9</f>
        <v>420000</v>
      </c>
      <c r="H9" s="13"/>
      <c r="I9" s="11" t="s">
        <v>157</v>
      </c>
    </row>
    <row r="10" customFormat="false" ht="19.5" hidden="false" customHeight="true" outlineLevel="0" collapsed="false">
      <c r="A10" s="11"/>
      <c r="B10" s="11" t="s">
        <v>266</v>
      </c>
      <c r="C10" s="13" t="s">
        <v>267</v>
      </c>
      <c r="D10" s="11" t="s">
        <v>75</v>
      </c>
      <c r="E10" s="14" t="n">
        <v>1</v>
      </c>
      <c r="F10" s="14" t="n">
        <v>380000</v>
      </c>
      <c r="G10" s="14" t="n">
        <f aca="false">E10*F10</f>
        <v>380000</v>
      </c>
      <c r="H10" s="13" t="s">
        <v>320</v>
      </c>
      <c r="I10" s="11" t="s">
        <v>157</v>
      </c>
    </row>
    <row r="11" customFormat="false" ht="19.5" hidden="false" customHeight="true" outlineLevel="0" collapsed="false">
      <c r="A11" s="11" t="s">
        <v>158</v>
      </c>
      <c r="B11" s="11" t="s">
        <v>120</v>
      </c>
      <c r="C11" s="13" t="s">
        <v>268</v>
      </c>
      <c r="D11" s="11" t="s">
        <v>284</v>
      </c>
      <c r="E11" s="14" t="n">
        <v>2</v>
      </c>
      <c r="F11" s="14" t="n">
        <v>350000</v>
      </c>
      <c r="G11" s="14" t="n">
        <f aca="false">E11*F11</f>
        <v>700000</v>
      </c>
      <c r="H11" s="13" t="s">
        <v>321</v>
      </c>
      <c r="I11" s="11" t="s">
        <v>158</v>
      </c>
    </row>
    <row r="12" customFormat="false" ht="19.5" hidden="false" customHeight="true" outlineLevel="0" collapsed="false">
      <c r="A12" s="11"/>
      <c r="B12" s="11" t="s">
        <v>80</v>
      </c>
      <c r="C12" s="13" t="s">
        <v>270</v>
      </c>
      <c r="D12" s="11" t="s">
        <v>284</v>
      </c>
      <c r="E12" s="14" t="n">
        <v>2</v>
      </c>
      <c r="F12" s="14" t="n">
        <v>500000</v>
      </c>
      <c r="G12" s="14" t="n">
        <f aca="false">E12*F12</f>
        <v>1000000</v>
      </c>
      <c r="H12" s="13" t="s">
        <v>321</v>
      </c>
      <c r="I12" s="11" t="s">
        <v>158</v>
      </c>
    </row>
    <row r="13" customFormat="false" ht="19.5" hidden="false" customHeight="true" outlineLevel="0" collapsed="false">
      <c r="A13" s="11"/>
      <c r="B13" s="11" t="s">
        <v>89</v>
      </c>
      <c r="C13" s="13" t="s">
        <v>272</v>
      </c>
      <c r="D13" s="11" t="s">
        <v>284</v>
      </c>
      <c r="E13" s="14" t="n">
        <v>2</v>
      </c>
      <c r="F13" s="14" t="n">
        <v>200000</v>
      </c>
      <c r="G13" s="14" t="n">
        <f aca="false">E13*F13</f>
        <v>400000</v>
      </c>
      <c r="H13" s="13" t="s">
        <v>321</v>
      </c>
      <c r="I13" s="11" t="s">
        <v>158</v>
      </c>
    </row>
    <row r="14" customFormat="false" ht="19.5" hidden="false" customHeight="true" outlineLevel="0" collapsed="false">
      <c r="A14" s="11"/>
      <c r="B14" s="11" t="s">
        <v>91</v>
      </c>
      <c r="C14" s="13" t="s">
        <v>274</v>
      </c>
      <c r="D14" s="11" t="s">
        <v>284</v>
      </c>
      <c r="E14" s="14" t="n">
        <v>1</v>
      </c>
      <c r="F14" s="14" t="n">
        <v>250000</v>
      </c>
      <c r="G14" s="14" t="n">
        <f aca="false">E14*F14</f>
        <v>250000</v>
      </c>
      <c r="H14" s="13" t="s">
        <v>322</v>
      </c>
      <c r="I14" s="11" t="s">
        <v>158</v>
      </c>
    </row>
    <row r="15" customFormat="false" ht="19.5" hidden="false" customHeight="true" outlineLevel="0" collapsed="false">
      <c r="A15" s="11"/>
      <c r="B15" s="11" t="s">
        <v>120</v>
      </c>
      <c r="C15" s="13" t="s">
        <v>276</v>
      </c>
      <c r="D15" s="11" t="s">
        <v>284</v>
      </c>
      <c r="E15" s="14" t="n">
        <v>4</v>
      </c>
      <c r="F15" s="14" t="n">
        <v>350000</v>
      </c>
      <c r="G15" s="14" t="n">
        <f aca="false">E15*F15</f>
        <v>1400000</v>
      </c>
      <c r="H15" s="13" t="s">
        <v>323</v>
      </c>
      <c r="I15" s="11" t="s">
        <v>158</v>
      </c>
    </row>
    <row r="16" customFormat="false" ht="19.5" hidden="false" customHeight="true" outlineLevel="0" collapsed="false">
      <c r="A16" s="11" t="s">
        <v>71</v>
      </c>
      <c r="B16" s="11" t="s">
        <v>71</v>
      </c>
      <c r="C16" s="13" t="s">
        <v>105</v>
      </c>
      <c r="D16" s="11" t="s">
        <v>75</v>
      </c>
      <c r="E16" s="14" t="n">
        <v>1</v>
      </c>
      <c r="F16" s="14" t="n">
        <v>550000</v>
      </c>
      <c r="G16" s="14" t="n">
        <f aca="false">E16*F16</f>
        <v>550000</v>
      </c>
      <c r="H16" s="13" t="s">
        <v>324</v>
      </c>
      <c r="I16" s="11" t="s">
        <v>71</v>
      </c>
    </row>
    <row r="17" customFormat="false" ht="19.5" hidden="false" customHeight="true" outlineLevel="0" collapsed="false">
      <c r="A17" s="45" t="s">
        <v>291</v>
      </c>
      <c r="B17" s="45"/>
      <c r="C17" s="45"/>
      <c r="D17" s="45"/>
      <c r="E17" s="45"/>
      <c r="F17" s="45"/>
      <c r="G17" s="46" t="n">
        <f aca="false">SUMIF($I$8:$I$16,"재료비",$G$8:$G$16)</f>
        <v>800000</v>
      </c>
      <c r="H17" s="20"/>
      <c r="I17" s="20"/>
    </row>
    <row r="18" customFormat="false" ht="19.5" hidden="false" customHeight="true" outlineLevel="0" collapsed="false">
      <c r="A18" s="45" t="s">
        <v>292</v>
      </c>
      <c r="B18" s="45"/>
      <c r="C18" s="45"/>
      <c r="D18" s="45"/>
      <c r="E18" s="45"/>
      <c r="F18" s="45"/>
      <c r="G18" s="46" t="n">
        <f aca="false">SUMIF($I$8:$I$16,"노무비",$G$8:$G$16)</f>
        <v>3750000</v>
      </c>
      <c r="H18" s="20"/>
      <c r="I18" s="20"/>
    </row>
    <row r="19" customFormat="false" ht="19.5" hidden="false" customHeight="true" outlineLevel="0" collapsed="false">
      <c r="A19" s="45" t="s">
        <v>293</v>
      </c>
      <c r="B19" s="45"/>
      <c r="C19" s="45"/>
      <c r="D19" s="45"/>
      <c r="E19" s="45"/>
      <c r="F19" s="45"/>
      <c r="G19" s="46" t="n">
        <f aca="false">SUMIF($I$8:$I$16,"경비",$G$8:$G$16)</f>
        <v>550000</v>
      </c>
      <c r="H19" s="20"/>
      <c r="I19" s="20"/>
    </row>
    <row r="20" customFormat="false" ht="19.5" hidden="false" customHeight="true" outlineLevel="0" collapsed="false">
      <c r="A20" s="45" t="s">
        <v>159</v>
      </c>
      <c r="B20" s="45"/>
      <c r="C20" s="45"/>
      <c r="D20" s="45"/>
      <c r="E20" s="45"/>
      <c r="F20" s="45"/>
      <c r="G20" s="46" t="n">
        <f aca="false">G18*요율근거!$C$5</f>
        <v>133500</v>
      </c>
      <c r="H20" s="20" t="s">
        <v>294</v>
      </c>
      <c r="I20" s="20"/>
    </row>
    <row r="21" customFormat="false" ht="19.5" hidden="false" customHeight="true" outlineLevel="0" collapsed="false">
      <c r="A21" s="45" t="s">
        <v>160</v>
      </c>
      <c r="B21" s="45"/>
      <c r="C21" s="45"/>
      <c r="D21" s="45"/>
      <c r="E21" s="45"/>
      <c r="F21" s="45"/>
      <c r="G21" s="46" t="n">
        <f aca="false">G18*요율근거!$C$6</f>
        <v>43125</v>
      </c>
      <c r="H21" s="20" t="s">
        <v>295</v>
      </c>
      <c r="I21" s="20"/>
    </row>
    <row r="22" customFormat="false" ht="19.5" hidden="false" customHeight="true" outlineLevel="0" collapsed="false">
      <c r="A22" s="45" t="s">
        <v>161</v>
      </c>
      <c r="B22" s="45"/>
      <c r="C22" s="45"/>
      <c r="D22" s="45"/>
      <c r="E22" s="45"/>
      <c r="F22" s="45"/>
      <c r="G22" s="46" t="n">
        <f aca="false">(G17+G18)*요율근거!$C$7</f>
        <v>141505</v>
      </c>
      <c r="H22" s="20" t="s">
        <v>296</v>
      </c>
      <c r="I22" s="20"/>
    </row>
    <row r="23" customFormat="false" ht="19.5" hidden="false" customHeight="true" outlineLevel="0" collapsed="false">
      <c r="A23" s="18" t="s">
        <v>162</v>
      </c>
      <c r="B23" s="18"/>
      <c r="C23" s="18"/>
      <c r="D23" s="18"/>
      <c r="E23" s="18"/>
      <c r="F23" s="18"/>
      <c r="G23" s="19" t="n">
        <f aca="false">SUM(G17:G22)</f>
        <v>5418130</v>
      </c>
      <c r="H23" s="20"/>
      <c r="I23" s="20"/>
    </row>
    <row r="24" customFormat="false" ht="19.5" hidden="false" customHeight="true" outlineLevel="0" collapsed="false">
      <c r="A24" s="45" t="s">
        <v>163</v>
      </c>
      <c r="B24" s="45"/>
      <c r="C24" s="45"/>
      <c r="D24" s="45"/>
      <c r="E24" s="45"/>
      <c r="F24" s="45"/>
      <c r="G24" s="46" t="n">
        <f aca="false">G23*요율근거!$C$8</f>
        <v>270906.5</v>
      </c>
      <c r="H24" s="20" t="s">
        <v>297</v>
      </c>
      <c r="I24" s="20"/>
    </row>
    <row r="25" customFormat="false" ht="19.5" hidden="false" customHeight="true" outlineLevel="0" collapsed="false">
      <c r="A25" s="45" t="s">
        <v>164</v>
      </c>
      <c r="B25" s="45"/>
      <c r="C25" s="45"/>
      <c r="D25" s="45"/>
      <c r="E25" s="45"/>
      <c r="F25" s="45"/>
      <c r="G25" s="46" t="n">
        <f aca="false">(G18+G19+G20+G21+G22+G24)*요율근거!$C$14</f>
        <v>733355.475</v>
      </c>
      <c r="H25" s="20" t="s">
        <v>298</v>
      </c>
      <c r="I25" s="20"/>
    </row>
    <row r="26" customFormat="false" ht="19.5" hidden="false" customHeight="true" outlineLevel="0" collapsed="false">
      <c r="A26" s="45" t="s">
        <v>165</v>
      </c>
      <c r="B26" s="45"/>
      <c r="C26" s="45"/>
      <c r="D26" s="45"/>
      <c r="E26" s="45"/>
      <c r="F26" s="45"/>
      <c r="G26" s="46" t="n">
        <f aca="false">-MOD(G23+G24+G25,1000)</f>
        <v>-391.974999999627</v>
      </c>
      <c r="H26" s="20" t="s">
        <v>299</v>
      </c>
      <c r="I26" s="20"/>
    </row>
    <row r="27" customFormat="false" ht="19.5" hidden="false" customHeight="true" outlineLevel="0" collapsed="false">
      <c r="A27" s="47" t="s">
        <v>209</v>
      </c>
      <c r="B27" s="47"/>
      <c r="C27" s="47"/>
      <c r="D27" s="47"/>
      <c r="E27" s="47"/>
      <c r="F27" s="47"/>
      <c r="G27" s="48" t="n">
        <f aca="false">G23+G24+G25+G26</f>
        <v>6422000</v>
      </c>
      <c r="H27" s="38" t="s">
        <v>300</v>
      </c>
      <c r="I27" s="38"/>
    </row>
    <row r="29" customFormat="false" ht="11.9" hidden="false" customHeight="false" outlineLevel="0" collapsed="false">
      <c r="A29" s="49" t="s">
        <v>301</v>
      </c>
      <c r="B29" s="49"/>
      <c r="C29" s="49"/>
      <c r="D29" s="49"/>
      <c r="E29" s="49"/>
      <c r="F29" s="49"/>
      <c r="G29" s="49"/>
      <c r="H29" s="49"/>
      <c r="I29" s="49"/>
    </row>
    <row r="30" customFormat="false" ht="11.9" hidden="false" customHeight="false" outlineLevel="0" collapsed="false">
      <c r="A30" s="49" t="s">
        <v>302</v>
      </c>
      <c r="B30" s="49"/>
      <c r="C30" s="49"/>
      <c r="D30" s="49"/>
      <c r="E30" s="49"/>
      <c r="F30" s="49"/>
      <c r="G30" s="49"/>
      <c r="H30" s="49"/>
      <c r="I30" s="49"/>
    </row>
  </sheetData>
  <mergeCells count="29">
    <mergeCell ref="A1:I2"/>
    <mergeCell ref="A3:I3"/>
    <mergeCell ref="A5:I5"/>
    <mergeCell ref="A8:A10"/>
    <mergeCell ref="A11:A15"/>
    <mergeCell ref="A17:F17"/>
    <mergeCell ref="H17:I17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9:I29"/>
    <mergeCell ref="A30:I30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4"/>
  </cols>
  <sheetData>
    <row r="1" customFormat="false" ht="18.65" hidden="false" customHeight="false" outlineLevel="0" collapsed="false">
      <c r="A1" s="39" t="s">
        <v>325</v>
      </c>
    </row>
    <row r="3" customFormat="false" ht="15" hidden="false" customHeight="false" outlineLevel="0" collapsed="false">
      <c r="A3" s="10" t="s">
        <v>326</v>
      </c>
      <c r="B3" s="10" t="s">
        <v>327</v>
      </c>
      <c r="C3" s="10" t="s">
        <v>328</v>
      </c>
      <c r="D3" s="10" t="s">
        <v>329</v>
      </c>
      <c r="E3" s="10" t="s">
        <v>330</v>
      </c>
    </row>
    <row r="4" customFormat="false" ht="15" hidden="false" customHeight="false" outlineLevel="0" collapsed="false">
      <c r="A4" s="50" t="n">
        <v>10</v>
      </c>
      <c r="B4" s="50" t="n">
        <v>4</v>
      </c>
      <c r="C4" s="51" t="n">
        <f aca="false">A4*B4</f>
        <v>40</v>
      </c>
      <c r="D4" s="50" t="n">
        <v>72.4</v>
      </c>
      <c r="E4" s="52" t="n">
        <f aca="false">C4*D4</f>
        <v>2896</v>
      </c>
    </row>
    <row r="5" customFormat="false" ht="15" hidden="false" customHeight="false" outlineLevel="0" collapsed="false">
      <c r="A5" s="50" t="n">
        <v>5</v>
      </c>
      <c r="B5" s="50" t="n">
        <v>16</v>
      </c>
      <c r="C5" s="51" t="n">
        <f aca="false">A5*B5</f>
        <v>80</v>
      </c>
      <c r="D5" s="50" t="n">
        <v>72.4</v>
      </c>
      <c r="E5" s="52" t="n">
        <f aca="false">C5*D5</f>
        <v>5792</v>
      </c>
    </row>
    <row r="6" customFormat="false" ht="15" hidden="false" customHeight="false" outlineLevel="0" collapsed="false">
      <c r="A6" s="50" t="n">
        <v>0.6</v>
      </c>
      <c r="B6" s="50" t="n">
        <v>30</v>
      </c>
      <c r="C6" s="51" t="n">
        <f aca="false">A6*B6</f>
        <v>18</v>
      </c>
      <c r="D6" s="50" t="n">
        <v>72.4</v>
      </c>
      <c r="E6" s="52" t="n">
        <f aca="false">C6*D6</f>
        <v>1303.2</v>
      </c>
    </row>
    <row r="7" customFormat="false" ht="15" hidden="false" customHeight="false" outlineLevel="0" collapsed="false">
      <c r="A7" s="53"/>
      <c r="B7" s="54" t="s">
        <v>155</v>
      </c>
      <c r="C7" s="53" t="n">
        <f aca="false">SUM(C4:C6)</f>
        <v>138</v>
      </c>
      <c r="D7" s="53"/>
      <c r="E7" s="55" t="n">
        <f aca="false">SUM(E4:E6)</f>
        <v>9991.2</v>
      </c>
    </row>
    <row r="9" customFormat="false" ht="15" hidden="false" customHeight="false" outlineLevel="0" collapsed="false">
      <c r="A9" s="15" t="s">
        <v>170</v>
      </c>
      <c r="B9" s="15" t="s">
        <v>186</v>
      </c>
      <c r="C9" s="15" t="s">
        <v>331</v>
      </c>
      <c r="D9" s="15" t="s">
        <v>36</v>
      </c>
    </row>
    <row r="10" customFormat="false" ht="15" hidden="false" customHeight="false" outlineLevel="0" collapsed="false">
      <c r="A10" s="56" t="s">
        <v>332</v>
      </c>
      <c r="B10" s="57" t="n">
        <v>13575440</v>
      </c>
      <c r="C10" s="52" t="n">
        <f aca="false">B10/$E$7</f>
        <v>1358.73969092802</v>
      </c>
      <c r="D10" s="56" t="s">
        <v>333</v>
      </c>
    </row>
    <row r="11" customFormat="false" ht="15" hidden="false" customHeight="false" outlineLevel="0" collapsed="false">
      <c r="A11" s="56" t="s">
        <v>334</v>
      </c>
      <c r="B11" s="57" t="n">
        <v>9577783</v>
      </c>
      <c r="C11" s="52" t="n">
        <f aca="false">B11/$E$7</f>
        <v>958.621887260789</v>
      </c>
      <c r="D11" s="56" t="s">
        <v>333</v>
      </c>
    </row>
    <row r="12" customFormat="false" ht="15" hidden="false" customHeight="false" outlineLevel="0" collapsed="false">
      <c r="A12" s="56" t="s">
        <v>335</v>
      </c>
      <c r="B12" s="57" t="n">
        <v>4000000</v>
      </c>
      <c r="C12" s="52" t="n">
        <f aca="false">B12/$E$7</f>
        <v>400.352310032829</v>
      </c>
      <c r="D12" s="56" t="s">
        <v>336</v>
      </c>
    </row>
    <row r="13" customFormat="false" ht="15" hidden="false" customHeight="false" outlineLevel="0" collapsed="false">
      <c r="A13" s="56" t="s">
        <v>337</v>
      </c>
      <c r="B13" s="58" t="n">
        <f aca="false">E7*700</f>
        <v>6993840</v>
      </c>
      <c r="C13" s="52" t="n">
        <f aca="false">B13/$E$7</f>
        <v>700</v>
      </c>
      <c r="D13" s="51" t="s">
        <v>338</v>
      </c>
    </row>
    <row r="14" customFormat="false" ht="15" hidden="false" customHeight="false" outlineLevel="0" collapsed="false">
      <c r="A14" s="56" t="s">
        <v>339</v>
      </c>
      <c r="B14" s="58" t="n">
        <f aca="false">B13-(B11-B12)</f>
        <v>1416057</v>
      </c>
      <c r="C14" s="52" t="n">
        <f aca="false">B14/$E$7</f>
        <v>141.730422772039</v>
      </c>
      <c r="D14" s="56" t="s">
        <v>340</v>
      </c>
    </row>
    <row r="16" customFormat="false" ht="15" hidden="false" customHeight="false" outlineLevel="0" collapsed="false">
      <c r="A16" s="40" t="s">
        <v>341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8.65" hidden="false" customHeight="false" outlineLevel="0" collapsed="false">
      <c r="A1" s="39" t="s">
        <v>342</v>
      </c>
    </row>
    <row r="3" customFormat="false" ht="30" hidden="false" customHeight="true" outlineLevel="0" collapsed="false">
      <c r="A3" s="18" t="s">
        <v>343</v>
      </c>
      <c r="B3" s="18" t="s">
        <v>344</v>
      </c>
      <c r="C3" s="59" t="s">
        <v>345</v>
      </c>
      <c r="D3" s="59" t="s">
        <v>346</v>
      </c>
      <c r="E3" s="59" t="s">
        <v>347</v>
      </c>
      <c r="F3" s="59" t="s">
        <v>348</v>
      </c>
      <c r="G3" s="59" t="s">
        <v>349</v>
      </c>
      <c r="H3" s="59" t="s">
        <v>350</v>
      </c>
      <c r="I3" s="59" t="s">
        <v>351</v>
      </c>
      <c r="J3" s="59" t="s">
        <v>352</v>
      </c>
      <c r="K3" s="59" t="s">
        <v>353</v>
      </c>
      <c r="L3" s="59" t="s">
        <v>354</v>
      </c>
      <c r="M3" s="59" t="s">
        <v>355</v>
      </c>
    </row>
    <row r="4" customFormat="false" ht="15" hidden="false" customHeight="false" outlineLevel="0" collapsed="false">
      <c r="A4" s="50" t="s">
        <v>356</v>
      </c>
      <c r="B4" s="50" t="s">
        <v>357</v>
      </c>
      <c r="C4" s="60"/>
      <c r="D4" s="56"/>
      <c r="E4" s="56"/>
      <c r="F4" s="56"/>
      <c r="G4" s="56"/>
      <c r="H4" s="56"/>
      <c r="I4" s="56"/>
      <c r="J4" s="56"/>
      <c r="K4" s="56"/>
      <c r="L4" s="56"/>
      <c r="M4" s="56"/>
    </row>
    <row r="5" customFormat="false" ht="15" hidden="false" customHeight="false" outlineLevel="0" collapsed="false">
      <c r="A5" s="50" t="s">
        <v>358</v>
      </c>
      <c r="B5" s="50" t="s">
        <v>359</v>
      </c>
      <c r="C5" s="60"/>
      <c r="D5" s="60"/>
      <c r="E5" s="60"/>
      <c r="F5" s="56"/>
      <c r="G5" s="56"/>
      <c r="H5" s="56"/>
      <c r="I5" s="56"/>
      <c r="J5" s="56"/>
      <c r="K5" s="56"/>
      <c r="L5" s="56"/>
      <c r="M5" s="56"/>
    </row>
    <row r="6" customFormat="false" ht="15" hidden="false" customHeight="false" outlineLevel="0" collapsed="false">
      <c r="A6" s="50" t="s">
        <v>360</v>
      </c>
      <c r="B6" s="50" t="s">
        <v>361</v>
      </c>
      <c r="C6" s="56"/>
      <c r="D6" s="56"/>
      <c r="E6" s="56"/>
      <c r="F6" s="60"/>
      <c r="G6" s="56"/>
      <c r="H6" s="56"/>
      <c r="I6" s="56"/>
      <c r="J6" s="56"/>
      <c r="K6" s="56"/>
      <c r="L6" s="56"/>
      <c r="M6" s="56"/>
    </row>
    <row r="7" customFormat="false" ht="15" hidden="false" customHeight="false" outlineLevel="0" collapsed="false">
      <c r="A7" s="50" t="s">
        <v>362</v>
      </c>
      <c r="B7" s="50" t="s">
        <v>363</v>
      </c>
      <c r="C7" s="56"/>
      <c r="D7" s="56"/>
      <c r="E7" s="56"/>
      <c r="F7" s="56"/>
      <c r="G7" s="60"/>
      <c r="H7" s="60"/>
      <c r="I7" s="56"/>
      <c r="J7" s="56"/>
      <c r="K7" s="56"/>
      <c r="L7" s="56"/>
      <c r="M7" s="56"/>
    </row>
    <row r="8" customFormat="false" ht="15" hidden="false" customHeight="false" outlineLevel="0" collapsed="false">
      <c r="A8" s="50" t="s">
        <v>364</v>
      </c>
      <c r="B8" s="50" t="s">
        <v>365</v>
      </c>
      <c r="C8" s="56"/>
      <c r="D8" s="56"/>
      <c r="E8" s="56"/>
      <c r="F8" s="56"/>
      <c r="G8" s="56"/>
      <c r="H8" s="56"/>
      <c r="I8" s="60"/>
      <c r="J8" s="60"/>
      <c r="K8" s="56"/>
      <c r="L8" s="56"/>
      <c r="M8" s="56"/>
    </row>
    <row r="9" customFormat="false" ht="15" hidden="false" customHeight="false" outlineLevel="0" collapsed="false">
      <c r="A9" s="50" t="s">
        <v>366</v>
      </c>
      <c r="B9" s="50" t="s">
        <v>367</v>
      </c>
      <c r="C9" s="56"/>
      <c r="D9" s="56"/>
      <c r="E9" s="56"/>
      <c r="F9" s="56"/>
      <c r="G9" s="56"/>
      <c r="H9" s="56"/>
      <c r="I9" s="56"/>
      <c r="J9" s="56"/>
      <c r="K9" s="60"/>
      <c r="L9" s="60"/>
      <c r="M9" s="60"/>
    </row>
    <row r="10" customFormat="false" ht="15" hidden="false" customHeight="false" outlineLevel="0" collapsed="false">
      <c r="A10" s="50" t="s">
        <v>368</v>
      </c>
      <c r="B10" s="50" t="s">
        <v>357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60"/>
    </row>
    <row r="12" customFormat="false" ht="15" hidden="false" customHeight="false" outlineLevel="0" collapsed="false">
      <c r="A12" s="40" t="s">
        <v>369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9" t="s">
        <v>370</v>
      </c>
    </row>
    <row r="2" customFormat="false" ht="15" hidden="false" customHeight="false" outlineLevel="0" collapsed="false">
      <c r="A2" s="40" t="s">
        <v>371</v>
      </c>
    </row>
    <row r="4" customFormat="false" ht="15" hidden="false" customHeight="false" outlineLevel="0" collapsed="false">
      <c r="A4" s="15" t="s">
        <v>372</v>
      </c>
      <c r="B4" s="15" t="s">
        <v>373</v>
      </c>
      <c r="C4" s="15" t="s">
        <v>374</v>
      </c>
      <c r="D4" s="15" t="s">
        <v>375</v>
      </c>
    </row>
    <row r="5" customFormat="false" ht="30" hidden="false" customHeight="true" outlineLevel="0" collapsed="false">
      <c r="A5" s="13" t="s">
        <v>159</v>
      </c>
      <c r="B5" s="13" t="s">
        <v>376</v>
      </c>
      <c r="C5" s="61" t="n">
        <v>0.0356</v>
      </c>
      <c r="D5" s="13" t="s">
        <v>377</v>
      </c>
    </row>
    <row r="6" customFormat="false" ht="30" hidden="false" customHeight="true" outlineLevel="0" collapsed="false">
      <c r="A6" s="13" t="s">
        <v>160</v>
      </c>
      <c r="B6" s="13" t="s">
        <v>376</v>
      </c>
      <c r="C6" s="61" t="n">
        <v>0.0115</v>
      </c>
      <c r="D6" s="13" t="s">
        <v>378</v>
      </c>
    </row>
    <row r="7" customFormat="false" ht="30" hidden="false" customHeight="true" outlineLevel="0" collapsed="false">
      <c r="A7" s="13" t="s">
        <v>161</v>
      </c>
      <c r="B7" s="13" t="s">
        <v>379</v>
      </c>
      <c r="C7" s="61" t="n">
        <v>0.0311</v>
      </c>
      <c r="D7" s="13" t="s">
        <v>380</v>
      </c>
    </row>
    <row r="8" customFormat="false" ht="30" hidden="false" customHeight="true" outlineLevel="0" collapsed="false">
      <c r="A8" s="13" t="s">
        <v>163</v>
      </c>
      <c r="B8" s="13" t="s">
        <v>381</v>
      </c>
      <c r="C8" s="61" t="n">
        <v>0.05</v>
      </c>
      <c r="D8" s="13" t="s">
        <v>382</v>
      </c>
    </row>
    <row r="9" customFormat="false" ht="30" hidden="false" customHeight="true" outlineLevel="0" collapsed="false">
      <c r="A9" s="13" t="s">
        <v>383</v>
      </c>
      <c r="B9" s="13" t="s">
        <v>384</v>
      </c>
      <c r="C9" s="62" t="n">
        <v>0.15</v>
      </c>
      <c r="D9" s="13" t="s">
        <v>385</v>
      </c>
    </row>
    <row r="10" customFormat="false" ht="30" hidden="false" customHeight="true" outlineLevel="0" collapsed="false">
      <c r="A10" s="13" t="s">
        <v>386</v>
      </c>
      <c r="B10" s="13" t="s">
        <v>384</v>
      </c>
      <c r="C10" s="62" t="n">
        <v>0.15</v>
      </c>
      <c r="D10" s="13" t="s">
        <v>385</v>
      </c>
    </row>
    <row r="11" customFormat="false" ht="30" hidden="false" customHeight="true" outlineLevel="0" collapsed="false">
      <c r="A11" s="13" t="s">
        <v>387</v>
      </c>
      <c r="B11" s="13" t="s">
        <v>384</v>
      </c>
      <c r="C11" s="62" t="n">
        <v>0.15</v>
      </c>
      <c r="D11" s="13" t="s">
        <v>385</v>
      </c>
    </row>
    <row r="12" customFormat="false" ht="30" hidden="false" customHeight="true" outlineLevel="0" collapsed="false">
      <c r="A12" s="13" t="s">
        <v>388</v>
      </c>
      <c r="B12" s="13" t="s">
        <v>384</v>
      </c>
      <c r="C12" s="62" t="n">
        <v>0.15</v>
      </c>
      <c r="D12" s="13" t="s">
        <v>385</v>
      </c>
    </row>
    <row r="13" customFormat="false" ht="30" hidden="false" customHeight="true" outlineLevel="0" collapsed="false">
      <c r="A13" s="13" t="s">
        <v>389</v>
      </c>
      <c r="B13" s="13" t="s">
        <v>384</v>
      </c>
      <c r="C13" s="62" t="n">
        <v>0.15</v>
      </c>
      <c r="D13" s="13" t="s">
        <v>385</v>
      </c>
    </row>
    <row r="14" customFormat="false" ht="30" hidden="false" customHeight="true" outlineLevel="0" collapsed="false">
      <c r="A14" s="13" t="s">
        <v>390</v>
      </c>
      <c r="B14" s="13" t="s">
        <v>384</v>
      </c>
      <c r="C14" s="62" t="n">
        <v>0.15</v>
      </c>
      <c r="D14" s="13" t="s">
        <v>385</v>
      </c>
    </row>
    <row r="15" customFormat="false" ht="30" hidden="false" customHeight="true" outlineLevel="0" collapsed="false">
      <c r="A15" s="13" t="s">
        <v>391</v>
      </c>
      <c r="B15" s="13" t="s">
        <v>392</v>
      </c>
      <c r="C15" s="11" t="s">
        <v>393</v>
      </c>
      <c r="D15" s="13" t="s">
        <v>394</v>
      </c>
    </row>
    <row r="17" customFormat="false" ht="15" hidden="false" customHeight="false" outlineLevel="0" collapsed="false">
      <c r="A17" s="6" t="s">
        <v>395</v>
      </c>
    </row>
    <row r="18" customFormat="false" ht="15" hidden="false" customHeight="false" outlineLevel="0" collapsed="false">
      <c r="A18" s="15" t="s">
        <v>396</v>
      </c>
      <c r="B18" s="15" t="s">
        <v>397</v>
      </c>
      <c r="C18" s="15" t="s">
        <v>398</v>
      </c>
      <c r="D18" s="15" t="s">
        <v>399</v>
      </c>
      <c r="E18" s="15" t="s">
        <v>400</v>
      </c>
    </row>
    <row r="19" customFormat="false" ht="15" hidden="false" customHeight="false" outlineLevel="0" collapsed="false">
      <c r="A19" s="13" t="s">
        <v>80</v>
      </c>
      <c r="B19" s="13" t="s">
        <v>401</v>
      </c>
      <c r="C19" s="14" t="n">
        <v>292640</v>
      </c>
      <c r="D19" s="14" t="n">
        <v>500000</v>
      </c>
      <c r="E19" s="63" t="n">
        <f aca="false">D19/C19</f>
        <v>1.70858392564243</v>
      </c>
    </row>
    <row r="20" customFormat="false" ht="15" hidden="false" customHeight="false" outlineLevel="0" collapsed="false">
      <c r="A20" s="13" t="s">
        <v>402</v>
      </c>
      <c r="B20" s="13" t="s">
        <v>403</v>
      </c>
      <c r="C20" s="14" t="n">
        <v>266029</v>
      </c>
      <c r="D20" s="14" t="n">
        <v>350000</v>
      </c>
      <c r="E20" s="63" t="n">
        <f aca="false">D20/C20</f>
        <v>1.31564603858978</v>
      </c>
    </row>
    <row r="21" customFormat="false" ht="15" hidden="false" customHeight="false" outlineLevel="0" collapsed="false">
      <c r="A21" s="13" t="s">
        <v>86</v>
      </c>
      <c r="B21" s="13" t="s">
        <v>404</v>
      </c>
      <c r="C21" s="14" t="n">
        <v>226122</v>
      </c>
      <c r="D21" s="14" t="n">
        <v>300000</v>
      </c>
      <c r="E21" s="63" t="n">
        <f aca="false">D21/C21</f>
        <v>1.32671743572054</v>
      </c>
    </row>
    <row r="22" customFormat="false" ht="15" hidden="false" customHeight="false" outlineLevel="0" collapsed="false">
      <c r="A22" s="13" t="s">
        <v>89</v>
      </c>
      <c r="B22" s="13" t="s">
        <v>405</v>
      </c>
      <c r="C22" s="14" t="n">
        <v>172068</v>
      </c>
      <c r="D22" s="14" t="n">
        <v>200000</v>
      </c>
      <c r="E22" s="63" t="n">
        <f aca="false">D22/C22</f>
        <v>1.16233117139735</v>
      </c>
    </row>
    <row r="23" customFormat="false" ht="15" hidden="false" customHeight="false" outlineLevel="0" collapsed="false">
      <c r="A23" s="13" t="s">
        <v>91</v>
      </c>
      <c r="B23" s="13" t="s">
        <v>404</v>
      </c>
      <c r="C23" s="14" t="n">
        <v>226122</v>
      </c>
      <c r="D23" s="14" t="n">
        <v>250000</v>
      </c>
      <c r="E23" s="63" t="n">
        <f aca="false">D23/C23</f>
        <v>1.10559786310045</v>
      </c>
    </row>
    <row r="24" customFormat="false" ht="15" hidden="false" customHeight="false" outlineLevel="0" collapsed="false">
      <c r="A24" s="13" t="s">
        <v>41</v>
      </c>
      <c r="B24" s="13" t="s">
        <v>404</v>
      </c>
      <c r="C24" s="14" t="n">
        <v>226122</v>
      </c>
      <c r="D24" s="14" t="n">
        <v>260000</v>
      </c>
      <c r="E24" s="63" t="n">
        <f aca="false">D24/C24</f>
        <v>1.14982177762447</v>
      </c>
    </row>
    <row r="25" customFormat="false" ht="15" hidden="false" customHeight="false" outlineLevel="0" collapsed="false">
      <c r="A25" s="13" t="s">
        <v>38</v>
      </c>
      <c r="B25" s="13" t="s">
        <v>406</v>
      </c>
      <c r="C25" s="14" t="n">
        <v>281939</v>
      </c>
      <c r="D25" s="14" t="n">
        <v>300000</v>
      </c>
      <c r="E25" s="63" t="n">
        <f aca="false">D25/C25</f>
        <v>1.06405995623167</v>
      </c>
    </row>
    <row r="26" customFormat="false" ht="30" hidden="false" customHeight="true" outlineLevel="0" collapsed="false">
      <c r="A26" s="36" t="s">
        <v>407</v>
      </c>
      <c r="B26" s="36"/>
      <c r="C26" s="36"/>
      <c r="D26" s="36"/>
      <c r="E26" s="36"/>
    </row>
    <row r="28" customFormat="false" ht="15" hidden="false" customHeight="false" outlineLevel="0" collapsed="false">
      <c r="A28" s="6" t="s">
        <v>408</v>
      </c>
    </row>
    <row r="29" customFormat="false" ht="15" hidden="false" customHeight="false" outlineLevel="0" collapsed="false">
      <c r="A29" s="64" t="s">
        <v>409</v>
      </c>
      <c r="B29" s="65" t="s">
        <v>410</v>
      </c>
      <c r="C29" s="65"/>
      <c r="D29" s="65"/>
      <c r="E29" s="65"/>
    </row>
    <row r="30" customFormat="false" ht="15" hidden="false" customHeight="false" outlineLevel="0" collapsed="false">
      <c r="A30" s="64" t="s">
        <v>411</v>
      </c>
      <c r="B30" s="65" t="s">
        <v>412</v>
      </c>
      <c r="C30" s="65"/>
      <c r="D30" s="65"/>
      <c r="E30" s="65"/>
    </row>
    <row r="31" customFormat="false" ht="12.65" hidden="false" customHeight="false" outlineLevel="0" collapsed="false">
      <c r="A31" s="64" t="s">
        <v>413</v>
      </c>
      <c r="B31" s="65" t="s">
        <v>414</v>
      </c>
      <c r="C31" s="65"/>
      <c r="D31" s="65"/>
      <c r="E31" s="65"/>
    </row>
    <row r="32" customFormat="false" ht="15" hidden="false" customHeight="false" outlineLevel="0" collapsed="false">
      <c r="A32" s="64" t="s">
        <v>161</v>
      </c>
      <c r="B32" s="65" t="s">
        <v>415</v>
      </c>
      <c r="C32" s="65"/>
      <c r="D32" s="65"/>
      <c r="E32" s="65"/>
    </row>
    <row r="33" customFormat="false" ht="15" hidden="false" customHeight="false" outlineLevel="0" collapsed="false">
      <c r="A33" s="64" t="s">
        <v>416</v>
      </c>
      <c r="B33" s="65" t="s">
        <v>417</v>
      </c>
      <c r="C33" s="65"/>
      <c r="D33" s="65"/>
      <c r="E33" s="65"/>
    </row>
    <row r="34" customFormat="false" ht="12.65" hidden="false" customHeight="false" outlineLevel="0" collapsed="false">
      <c r="A34" s="64" t="s">
        <v>418</v>
      </c>
      <c r="B34" s="65" t="s">
        <v>419</v>
      </c>
      <c r="C34" s="65"/>
      <c r="D34" s="65"/>
      <c r="E34" s="65"/>
    </row>
    <row r="35" customFormat="false" ht="15" hidden="false" customHeight="false" outlineLevel="0" collapsed="false">
      <c r="A35" s="64" t="s">
        <v>420</v>
      </c>
      <c r="B35" s="65" t="s">
        <v>421</v>
      </c>
      <c r="C35" s="65"/>
      <c r="D35" s="65"/>
      <c r="E35" s="65"/>
    </row>
    <row r="37" customFormat="false" ht="15" hidden="false" customHeight="false" outlineLevel="0" collapsed="false">
      <c r="A37" s="40" t="s">
        <v>422</v>
      </c>
    </row>
  </sheetData>
  <mergeCells count="8">
    <mergeCell ref="A26:E26"/>
    <mergeCell ref="B29:E29"/>
    <mergeCell ref="B30:E30"/>
    <mergeCell ref="B31:E31"/>
    <mergeCell ref="B32:E32"/>
    <mergeCell ref="B33:E33"/>
    <mergeCell ref="B34:E34"/>
    <mergeCell ref="B35:E35"/>
  </mergeCells>
  <hyperlinks>
    <hyperlink ref="B29" r:id="rId1" display="https://www.kmcca.or.kr/images/pegs/down_file/2026%EB%85%84%20%EC%83%81%EB%B0%98%EA%B8%B0%EC%A0%81%EC%9A%A9%20%EA%B1%B4%EC%84%A4%EC%97%85%20%EC%9E%84%EA%B8%88%EC%8B%A4%ED%83%9C%EC%A1%B0%EC%82%AC%20%EB%B3%B4%EA%B3%A0%EC%84%9C.pdf"/>
    <hyperlink ref="B30" r:id="rId2" display="http://www.conslove.co.kr/news/articleView.html?idxno=89479"/>
    <hyperlink ref="B31" r:id="rId3" display="https://www.kosca21.or.kr/km_board/upload/km_b_notice/1767346180_02.pdf"/>
    <hyperlink ref="B32" r:id="rId4" display="https://biz.newdaily.co.kr/site/data/html/2026/05/07/2026050700116.html"/>
    <hyperlink ref="B33" r:id="rId5" display="https://04noti.com/construction-cost-ratio-guide/"/>
    <hyperlink ref="B34" r:id="rId6" display="https://calctools.co.kr/blog/daily-worker-insurance"/>
  </hyperlink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2026-10-13T03:26:25Z</dcterms:created>
  <dc:creator>openpyxl</dc:creator>
  <dc:description/>
  <dc:language>en-US</dc:language>
  <cp:lastModifiedBy/>
  <dcterms:modified xsi:type="dcterms:W3CDTF">2026-10-13T03:26:25Z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